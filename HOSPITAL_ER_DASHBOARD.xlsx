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frin\Desktop\"/>
    </mc:Choice>
  </mc:AlternateContent>
  <xr:revisionPtr revIDLastSave="0" documentId="13_ncr:1_{0CD53304-50A5-47F7-8679-B492F267E2AD}" xr6:coauthVersionLast="47" xr6:coauthVersionMax="47" xr10:uidLastSave="{00000000-0000-0000-0000-000000000000}"/>
  <bookViews>
    <workbookView xWindow="-108" yWindow="-108" windowWidth="23256" windowHeight="12456" firstSheet="1" activeTab="1" xr2:uid="{BC1090E0-FF8F-4796-BC5D-E20FC7F757BE}"/>
  </bookViews>
  <sheets>
    <sheet name="Pivot Report" sheetId="1" r:id="rId1"/>
    <sheet name="Dashboard" sheetId="2" r:id="rId2"/>
    <sheet name="AVERAGEWAIT" sheetId="9" r:id="rId3"/>
    <sheet name="DailyEr visits" sheetId="3" r:id="rId4"/>
    <sheet name="Satisfactio rate" sheetId="10" r:id="rId5"/>
  </sheets>
  <definedNames>
    <definedName name="Slicer_Date__Month">#N/A</definedName>
    <definedName name="Slicer_Date__Year">#N/A</definedName>
  </definedNames>
  <calcPr calcId="191029"/>
  <pivotCaches>
    <pivotCache cacheId="24" r:id="rId6"/>
    <pivotCache cacheId="27" r:id="rId7"/>
    <pivotCache cacheId="30" r:id="rId8"/>
    <pivotCache cacheId="33" r:id="rId9"/>
    <pivotCache cacheId="36" r:id="rId10"/>
    <pivotCache cacheId="39" r:id="rId11"/>
    <pivotCache cacheId="42" r:id="rId12"/>
    <pivotCache cacheId="45" r:id="rId13"/>
    <pivotCache cacheId="48" r:id="rId14"/>
    <pivotCache cacheId="51" r:id="rId15"/>
    <pivotCache cacheId="54" r:id="rId16"/>
    <pivotCache cacheId="57" r:id="rId17"/>
  </pivotCaches>
  <extLst>
    <ext xmlns:x14="http://schemas.microsoft.com/office/spreadsheetml/2009/9/main" uri="{876F7934-8845-4945-9796-88D515C7AA90}">
      <x14:pivotCaches>
        <pivotCache cacheId="20" r:id="rId18"/>
        <pivotCache cacheId="2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302fb3d-ccd5-4316-a9fc-355b70e47f00" name="Hospital Emergency Room Data" connection="Query - Hospital Emergency Room Data"/>
          <x15:modelTable id="Calender_6dcf15fd-ad03-4f00-81ae-ee36d305cbff"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C48" i="1"/>
  <c r="B49" i="1"/>
  <c r="C49" i="1"/>
  <c r="A48"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F04211-EF99-4821-B920-0891C2756926}" name="Query - Calender" description="Connection to the 'Calender' query in the workbook." type="100" refreshedVersion="8" minRefreshableVersion="5">
    <extLst>
      <ext xmlns:x15="http://schemas.microsoft.com/office/spreadsheetml/2010/11/main" uri="{DE250136-89BD-433C-8126-D09CA5730AF9}">
        <x15:connection id="3129fad1-f4d8-4902-8dae-a2283ed7e392"/>
      </ext>
    </extLst>
  </connection>
  <connection id="2" xr16:uid="{A05BA4A9-2A0D-4B09-95E5-8A719C56AAC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cca605f-2c5b-4108-adfe-7b0b1b20f273"/>
      </ext>
    </extLst>
  </connection>
  <connection id="3" xr16:uid="{889AC76F-193A-43C9-BA4C-2BEC417B6FE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<sst xmlns="http://schemas.openxmlformats.org/spreadsheetml/2006/main" count="155" uniqueCount="75">
  <si>
    <t>Distinct Count of Patient Id</t>
  </si>
  <si>
    <t>NO OF PATIENTS</t>
  </si>
  <si>
    <t>Average of Patient Waittime</t>
  </si>
  <si>
    <t>Average of Patient Satisfaction Score</t>
  </si>
  <si>
    <t xml:space="preserve"> </t>
  </si>
  <si>
    <t>Row Labels</t>
  </si>
  <si>
    <t>Grand Total</t>
  </si>
  <si>
    <t>daily trend er</t>
  </si>
  <si>
    <t>avg wait time</t>
  </si>
  <si>
    <t>Admitted</t>
  </si>
  <si>
    <t>Not Admitted</t>
  </si>
  <si>
    <t>Count of Patient Admission Flag</t>
  </si>
  <si>
    <t>Count of Patient Admission Flag2</t>
  </si>
  <si>
    <t>Admission Status</t>
  </si>
  <si>
    <t>%Status</t>
  </si>
  <si>
    <t>Chart</t>
  </si>
  <si>
    <t>Patients</t>
  </si>
  <si>
    <t>0-9</t>
  </si>
  <si>
    <t>10-19</t>
  </si>
  <si>
    <t>20-29</t>
  </si>
  <si>
    <t>30-39</t>
  </si>
  <si>
    <t>40-49</t>
  </si>
  <si>
    <t>50-59</t>
  </si>
  <si>
    <t>60-69</t>
  </si>
  <si>
    <t>70-79</t>
  </si>
  <si>
    <t>Count of Patient Age</t>
  </si>
  <si>
    <t>age groupwise analysis</t>
  </si>
  <si>
    <t>On time</t>
  </si>
  <si>
    <t>Delay</t>
  </si>
  <si>
    <t>Count of Merged</t>
  </si>
  <si>
    <t>Patient attd Status</t>
  </si>
  <si>
    <t>Gender</t>
  </si>
  <si>
    <t>Count of Patient Gender</t>
  </si>
  <si>
    <t>Female</t>
  </si>
  <si>
    <t>Male</t>
  </si>
  <si>
    <t>Count of Department Referral</t>
  </si>
  <si>
    <t>Cardiology</t>
  </si>
  <si>
    <t>Gastroenterology</t>
  </si>
  <si>
    <t>General Practice</t>
  </si>
  <si>
    <t>Neurology</t>
  </si>
  <si>
    <t>None</t>
  </si>
  <si>
    <t>Orthopedics</t>
  </si>
  <si>
    <t>Physiotherapy</t>
  </si>
  <si>
    <t>Renal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</si>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</sst>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rgb="FF203864"/>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rgb="FFFEE6EF"/>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0" fontId="0" fillId="0" borderId="0" xfId="0" applyNumberFormat="1"/>
    <xf numFmtId="0" fontId="0" fillId="4" borderId="0" xfId="0" applyFill="1"/>
    <xf numFmtId="9" fontId="0" fillId="4" borderId="0" xfId="1" applyFont="1" applyFill="1"/>
    <xf numFmtId="0" fontId="2" fillId="3" borderId="0" xfId="0" applyFont="1" applyFill="1"/>
    <xf numFmtId="0" fontId="3" fillId="0" borderId="0" xfId="0" applyFont="1"/>
    <xf numFmtId="1" fontId="0" fillId="0" borderId="0" xfId="0" applyNumberFormat="1"/>
    <xf numFmtId="0" fontId="0" fillId="0" borderId="0" xfId="0" applyNumberFormat="1"/>
  </cellXfs>
  <cellStyles count="2">
    <cellStyle name="Normal" xfId="0" builtinId="0"/>
    <cellStyle name="Percent" xfId="1" builtinId="5"/>
  </cellStyles>
  <dxfs count="26">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font>
        <b/>
        <color theme="1"/>
      </font>
      <border>
        <bottom style="thin">
          <color theme="7"/>
        </bottom>
        <vertical/>
        <horizontal/>
      </border>
    </dxf>
    <dxf>
      <font>
        <sz val="6"/>
        <color rgb="FFE4B2CA"/>
        <name val="Cascadia Code SemiBold"/>
        <family val="3"/>
        <scheme val="none"/>
      </font>
      <fill>
        <patternFill>
          <fgColor rgb="FFFCE4EB"/>
          <bgColor rgb="FFFEE6EF"/>
        </patternFill>
      </fill>
      <border diagonalDown="0">
        <left style="thin">
          <color rgb="FFFEE6EF"/>
        </left>
        <right style="thin">
          <color rgb="FFFEE6EF"/>
        </right>
        <top style="thin">
          <color rgb="FFFEE6EF"/>
        </top>
        <bottom style="thin">
          <color rgb="FFFEE6EF"/>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lol" pivot="0" table="0" count="10" xr9:uid="{4C450ABE-3C16-4029-B6EC-D78CA9CEF247}">
      <tableStyleElement type="wholeTable" dxfId="25"/>
      <tableStyleElement type="headerRow" dxfId="24"/>
    </tableStyle>
    <tableStyle name="Mystyle" pivot="0" table="0" count="0" xr9:uid="{7F3C981F-F554-4589-AEE4-6DCE7E777E02}"/>
    <tableStyle name="Mystyleeee" pivot="0" table="0" count="10" xr9:uid="{38D2833D-A8AF-4CFD-9757-09EF1484608E}">
      <tableStyleElement type="wholeTable" dxfId="23"/>
      <tableStyleElement type="headerRow" dxfId="22"/>
    </tableStyle>
  </tableStyles>
  <colors>
    <mruColors>
      <color rgb="FFFEE6EF"/>
      <color rgb="FFE4B2CA"/>
      <color rgb="FFFCE4E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lo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
        <x14:slicerStyle name="Mystyleee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Report!PivotTable7</c:name>
    <c:fmtId val="1"/>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2060"/>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DDD6E0-3933-4CFA-A16F-DCC4E36B007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61049-324A-4FC9-BD81-589156AA81B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barChart>
        <c:barDir val="bar"/>
        <c:grouping val="clustered"/>
        <c:varyColors val="0"/>
        <c:ser>
          <c:idx val="0"/>
          <c:order val="0"/>
          <c:tx>
            <c:strRef>
              <c:f>'Pivot Report'!$C$40:$C$41</c:f>
              <c:strCache>
                <c:ptCount val="1"/>
                <c:pt idx="0">
                  <c:v>Count of Patient Admission Flag</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3-D091-4D5A-8988-CA46F8E5AEA4}"/>
              </c:ext>
            </c:extLst>
          </c:dPt>
          <c:dPt>
            <c:idx val="1"/>
            <c:invertIfNegative val="0"/>
            <c:bubble3D val="0"/>
            <c:extLst>
              <c:ext xmlns:c16="http://schemas.microsoft.com/office/drawing/2014/chart" uri="{C3380CC4-5D6E-409C-BE32-E72D297353CC}">
                <c16:uniqueId val="{00000004-D091-4D5A-8988-CA46F8E5AEA4}"/>
              </c:ext>
            </c:extLst>
          </c:dPt>
          <c:dLbls>
            <c:dLbl>
              <c:idx val="0"/>
              <c:tx>
                <c:rich>
                  <a:bodyPr/>
                  <a:lstStyle/>
                  <a:p>
                    <a:fld id="{2FDDD6E0-3933-4CFA-A16F-DCC4E36B007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91-4D5A-8988-CA46F8E5AEA4}"/>
                </c:ext>
              </c:extLst>
            </c:dLbl>
            <c:dLbl>
              <c:idx val="1"/>
              <c:tx>
                <c:rich>
                  <a:bodyPr/>
                  <a:lstStyle/>
                  <a:p>
                    <a:fld id="{0E461049-324A-4FC9-BD81-589156AA81B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091-4D5A-8988-CA46F8E5AEA4}"/>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0.00</c:formatCode>
                <c:ptCount val="2"/>
                <c:pt idx="0">
                  <c:v>237</c:v>
                </c:pt>
                <c:pt idx="1">
                  <c:v>242</c:v>
                </c:pt>
              </c:numCache>
            </c:numRef>
          </c:val>
          <c:extLst>
            <c:ext xmlns:c15="http://schemas.microsoft.com/office/drawing/2012/chart" uri="{02D57815-91ED-43cb-92C2-25804820EDAC}">
              <c15:datalabelsRange>
                <c15:f>'Pivot Report'!$C$40:$C$41</c15:f>
                <c15:dlblRangeCache>
                  <c:ptCount val="2"/>
                  <c:pt idx="0">
                    <c:v>49.48%</c:v>
                  </c:pt>
                  <c:pt idx="1">
                    <c:v>50.52%</c:v>
                  </c:pt>
                </c15:dlblRangeCache>
              </c15:datalabelsRange>
            </c:ext>
            <c:ext xmlns:c16="http://schemas.microsoft.com/office/drawing/2014/chart" uri="{C3380CC4-5D6E-409C-BE32-E72D297353CC}">
              <c16:uniqueId val="{00000000-D091-4D5A-8988-CA46F8E5AEA4}"/>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0.49478079331941544</c:v>
                </c:pt>
                <c:pt idx="1">
                  <c:v>0.50521920668058451</c:v>
                </c:pt>
              </c:numCache>
            </c:numRef>
          </c:val>
          <c:extLst>
            <c:ext xmlns:c16="http://schemas.microsoft.com/office/drawing/2014/chart" uri="{C3380CC4-5D6E-409C-BE32-E72D297353CC}">
              <c16:uniqueId val="{00000001-D091-4D5A-8988-CA46F8E5AEA4}"/>
            </c:ext>
          </c:extLst>
        </c:ser>
        <c:dLbls>
          <c:showLegendKey val="0"/>
          <c:showVal val="0"/>
          <c:showCatName val="0"/>
          <c:showSerName val="0"/>
          <c:showPercent val="0"/>
          <c:showBubbleSize val="0"/>
        </c:dLbls>
        <c:gapWidth val="54"/>
        <c:axId val="2023292048"/>
        <c:axId val="2023297808"/>
      </c:barChart>
      <c:catAx>
        <c:axId val="2023292048"/>
        <c:scaling>
          <c:orientation val="minMax"/>
        </c:scaling>
        <c:delete val="1"/>
        <c:axPos val="l"/>
        <c:numFmt formatCode="General" sourceLinked="1"/>
        <c:majorTickMark val="none"/>
        <c:minorTickMark val="none"/>
        <c:tickLblPos val="nextTo"/>
        <c:crossAx val="2023297808"/>
        <c:crosses val="autoZero"/>
        <c:auto val="1"/>
        <c:lblAlgn val="ctr"/>
        <c:lblOffset val="100"/>
        <c:noMultiLvlLbl val="0"/>
      </c:catAx>
      <c:valAx>
        <c:axId val="2023297808"/>
        <c:scaling>
          <c:orientation val="minMax"/>
        </c:scaling>
        <c:delete val="1"/>
        <c:axPos val="b"/>
        <c:numFmt formatCode="0.00" sourceLinked="1"/>
        <c:majorTickMark val="none"/>
        <c:minorTickMark val="none"/>
        <c:tickLblPos val="nextTo"/>
        <c:crossAx val="202329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[HOSPITAL_ER_DASHBOARD.xlsx]Pivot Report!PivotTable4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2159045229613E-2"/>
          <c:y val="0.41996470733239738"/>
          <c:w val="0.80635681909540768"/>
          <c:h val="0.37005293900140396"/>
        </c:manualLayout>
      </c:layout>
      <c:areaChart>
        <c:grouping val="standard"/>
        <c:varyColors val="0"/>
        <c:ser>
          <c:idx val="0"/>
          <c:order val="0"/>
          <c:tx>
            <c:strRef>
              <c:f>'Pivot Report'!$E$4</c:f>
              <c:strCache>
                <c:ptCount val="1"/>
                <c:pt idx="0">
                  <c:v>Total</c:v>
                </c:pt>
              </c:strCache>
            </c:strRef>
          </c:tx>
          <c:spPr>
            <a:solidFill>
              <a:srgbClr val="002060"/>
            </a:solidFill>
            <a:ln>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6A5C-4169-8BF3-037E63309810}"/>
            </c:ext>
          </c:extLst>
        </c:ser>
        <c:dLbls>
          <c:showLegendKey val="0"/>
          <c:showVal val="0"/>
          <c:showCatName val="0"/>
          <c:showSerName val="0"/>
          <c:showPercent val="0"/>
          <c:showBubbleSize val="0"/>
        </c:dLbls>
        <c:axId val="1472957583"/>
        <c:axId val="1472955663"/>
      </c:areaChart>
      <c:catAx>
        <c:axId val="1472957583"/>
        <c:scaling>
          <c:orientation val="minMax"/>
        </c:scaling>
        <c:delete val="1"/>
        <c:axPos val="b"/>
        <c:numFmt formatCode="General" sourceLinked="1"/>
        <c:majorTickMark val="out"/>
        <c:minorTickMark val="none"/>
        <c:tickLblPos val="nextTo"/>
        <c:crossAx val="1472955663"/>
        <c:crosses val="autoZero"/>
        <c:auto val="1"/>
        <c:lblAlgn val="ctr"/>
        <c:lblOffset val="100"/>
        <c:noMultiLvlLbl val="0"/>
      </c:catAx>
      <c:valAx>
        <c:axId val="14729556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295758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rgbClr val="002060"/>
            </a:solidFill>
            <a:ln>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4395-46BE-939E-386D280A5E46}"/>
            </c:ext>
          </c:extLst>
        </c:ser>
        <c:dLbls>
          <c:showLegendKey val="0"/>
          <c:showVal val="0"/>
          <c:showCatName val="0"/>
          <c:showSerName val="0"/>
          <c:showPercent val="0"/>
          <c:showBubbleSize val="0"/>
        </c:dLbls>
        <c:axId val="1472978623"/>
        <c:axId val="1472976223"/>
      </c:areaChart>
      <c:catAx>
        <c:axId val="1472978623"/>
        <c:scaling>
          <c:orientation val="minMax"/>
        </c:scaling>
        <c:delete val="1"/>
        <c:axPos val="b"/>
        <c:numFmt formatCode="General" sourceLinked="1"/>
        <c:majorTickMark val="out"/>
        <c:minorTickMark val="none"/>
        <c:tickLblPos val="nextTo"/>
        <c:crossAx val="1472976223"/>
        <c:crosses val="autoZero"/>
        <c:auto val="1"/>
        <c:lblAlgn val="ctr"/>
        <c:lblOffset val="100"/>
        <c:noMultiLvlLbl val="0"/>
      </c:catAx>
      <c:valAx>
        <c:axId val="1472976223"/>
        <c:scaling>
          <c:orientation val="minMax"/>
        </c:scaling>
        <c:delete val="1"/>
        <c:axPos val="l"/>
        <c:numFmt formatCode="0.00" sourceLinked="1"/>
        <c:majorTickMark val="none"/>
        <c:minorTickMark val="none"/>
        <c:tickLblPos val="nextTo"/>
        <c:crossAx val="1472978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solidFill>
              <a:srgbClr val="002060"/>
            </a:solidFill>
            <a:ln>
              <a:noFill/>
            </a:ln>
            <a:effectLst/>
          </c:spPr>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C53C-4533-B0C7-B977E2B51C18}"/>
            </c:ext>
          </c:extLst>
        </c:ser>
        <c:dLbls>
          <c:showLegendKey val="0"/>
          <c:showVal val="0"/>
          <c:showCatName val="0"/>
          <c:showSerName val="0"/>
          <c:showPercent val="0"/>
          <c:showBubbleSize val="0"/>
        </c:dLbls>
        <c:axId val="2093673039"/>
        <c:axId val="2093673999"/>
      </c:areaChart>
      <c:catAx>
        <c:axId val="2093673039"/>
        <c:scaling>
          <c:orientation val="minMax"/>
        </c:scaling>
        <c:delete val="1"/>
        <c:axPos val="b"/>
        <c:numFmt formatCode="General" sourceLinked="1"/>
        <c:majorTickMark val="out"/>
        <c:minorTickMark val="none"/>
        <c:tickLblPos val="nextTo"/>
        <c:crossAx val="2093673999"/>
        <c:crosses val="autoZero"/>
        <c:auto val="1"/>
        <c:lblAlgn val="ctr"/>
        <c:lblOffset val="100"/>
        <c:noMultiLvlLbl val="0"/>
      </c:catAx>
      <c:valAx>
        <c:axId val="2093673999"/>
        <c:scaling>
          <c:orientation val="minMax"/>
        </c:scaling>
        <c:delete val="1"/>
        <c:axPos val="l"/>
        <c:numFmt formatCode="0.00" sourceLinked="1"/>
        <c:majorTickMark val="none"/>
        <c:minorTickMark val="none"/>
        <c:tickLblPos val="nextTo"/>
        <c:crossAx val="2093673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2D5C-43AF-BEBC-D363D0C48A2A}"/>
            </c:ext>
          </c:extLst>
        </c:ser>
        <c:dLbls>
          <c:showLegendKey val="0"/>
          <c:showVal val="0"/>
          <c:showCatName val="0"/>
          <c:showSerName val="0"/>
          <c:showPercent val="0"/>
          <c:showBubbleSize val="0"/>
        </c:dLbls>
        <c:gapWidth val="219"/>
        <c:overlap val="-27"/>
        <c:axId val="607980720"/>
        <c:axId val="607979760"/>
      </c:barChart>
      <c:catAx>
        <c:axId val="60798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79760"/>
        <c:crosses val="autoZero"/>
        <c:auto val="1"/>
        <c:lblAlgn val="ctr"/>
        <c:lblOffset val="100"/>
        <c:noMultiLvlLbl val="0"/>
      </c:catAx>
      <c:valAx>
        <c:axId val="607979760"/>
        <c:scaling>
          <c:orientation val="minMax"/>
        </c:scaling>
        <c:delete val="1"/>
        <c:axPos val="l"/>
        <c:numFmt formatCode="0" sourceLinked="1"/>
        <c:majorTickMark val="none"/>
        <c:minorTickMark val="none"/>
        <c:tickLblPos val="nextTo"/>
        <c:crossAx val="6079807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Report!PivotTable9</c:name>
    <c:fmtId val="11"/>
  </c:pivotSource>
  <c:chart>
    <c:autoTitleDeleted val="1"/>
    <c:pivotFmts>
      <c:pivotFmt>
        <c:idx val="0"/>
      </c:pivotFmt>
      <c:pivotFmt>
        <c:idx val="1"/>
      </c:pivotFmt>
      <c:pivotFmt>
        <c:idx val="2"/>
      </c:pivotFmt>
      <c:pivotFmt>
        <c:idx val="3"/>
      </c:pivotFmt>
      <c:pivotFmt>
        <c:idx val="4"/>
        <c:spPr>
          <a:pattFill prst="pct5">
            <a:fgClr>
              <a:srgbClr val="E4B2CA"/>
            </a:fgClr>
            <a:bgClr>
              <a:schemeClr val="bg1"/>
            </a:bgClr>
          </a:patt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4B2CA"/>
          </a:solidFill>
          <a:ln>
            <a:noFill/>
          </a:ln>
          <a:effectLst>
            <a:outerShdw blurRad="57150" dist="19050" dir="5400000" algn="ctr" rotWithShape="0">
              <a:srgbClr val="000000">
                <a:alpha val="63000"/>
              </a:srgbClr>
            </a:outerShdw>
          </a:effectLst>
        </c:spPr>
      </c:pivotFmt>
      <c:pivotFmt>
        <c:idx val="6"/>
        <c:spPr>
          <a:solidFill>
            <a:srgbClr val="00206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366896496787668"/>
          <c:y val="0.2080665688123525"/>
          <c:w val="0.55345397219811432"/>
          <c:h val="0.60046445950824723"/>
        </c:manualLayout>
      </c:layout>
      <c:pieChart>
        <c:varyColors val="1"/>
        <c:ser>
          <c:idx val="0"/>
          <c:order val="0"/>
          <c:tx>
            <c:strRef>
              <c:f>'Pivot Report'!$B$65</c:f>
              <c:strCache>
                <c:ptCount val="1"/>
                <c:pt idx="0">
                  <c:v>Total</c:v>
                </c:pt>
              </c:strCache>
            </c:strRef>
          </c:tx>
          <c:spPr>
            <a:pattFill prst="pct5">
              <a:fgClr>
                <a:srgbClr val="E4B2CA"/>
              </a:fgClr>
              <a:bgClr>
                <a:schemeClr val="bg1"/>
              </a:bgClr>
            </a:pattFill>
          </c:spPr>
          <c:dPt>
            <c:idx val="0"/>
            <c:bubble3D val="0"/>
            <c:spPr>
              <a:solidFill>
                <a:srgbClr val="E4B2C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3D-4BBC-8699-6739AFF6EFD0}"/>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3D-4BBC-8699-6739AFF6EF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 time</c:v>
                </c:pt>
              </c:strCache>
            </c:strRef>
          </c:cat>
          <c:val>
            <c:numRef>
              <c:f>'Pivot Report'!$B$66:$B$68</c:f>
              <c:numCache>
                <c:formatCode>0</c:formatCode>
                <c:ptCount val="2"/>
                <c:pt idx="0">
                  <c:v>273</c:v>
                </c:pt>
                <c:pt idx="1">
                  <c:v>206</c:v>
                </c:pt>
              </c:numCache>
            </c:numRef>
          </c:val>
          <c:extLst>
            <c:ext xmlns:c16="http://schemas.microsoft.com/office/drawing/2014/chart" uri="{C3380CC4-5D6E-409C-BE32-E72D297353CC}">
              <c16:uniqueId val="{00000004-393D-4BBC-8699-6739AFF6EFD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4B2CA"/>
          </a:solidFill>
          <a:ln w="9525" cap="flat" cmpd="sng" algn="ctr">
            <a:solidFill>
              <a:schemeClr val="accent1">
                <a:shade val="95000"/>
              </a:schemeClr>
            </a:solidFill>
            <a:round/>
          </a:ln>
          <a:effectLst/>
        </c:spPr>
      </c:pivotFmt>
      <c:pivotFmt>
        <c:idx val="6"/>
        <c:spPr>
          <a:solidFill>
            <a:srgbClr val="002060"/>
          </a:soli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646102460828138"/>
          <c:y val="0.18333198405148859"/>
          <c:w val="0.52157350199246888"/>
          <c:h val="0.65843944861237147"/>
        </c:manualLayout>
      </c:layout>
      <c:doughnutChart>
        <c:varyColors val="0"/>
        <c:ser>
          <c:idx val="0"/>
          <c:order val="0"/>
          <c:tx>
            <c:strRef>
              <c:f>'Pivot Report'!$B$71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idx val="0"/>
            <c:bubble3D val="0"/>
            <c:spPr>
              <a:solidFill>
                <a:srgbClr val="E4B2CA"/>
              </a:solidFill>
              <a:ln w="9525" cap="flat" cmpd="sng" algn="ctr">
                <a:solidFill>
                  <a:schemeClr val="accent1">
                    <a:shade val="95000"/>
                  </a:schemeClr>
                </a:solidFill>
                <a:round/>
              </a:ln>
              <a:effectLst/>
            </c:spPr>
            <c:extLst>
              <c:ext xmlns:c16="http://schemas.microsoft.com/office/drawing/2014/chart" uri="{C3380CC4-5D6E-409C-BE32-E72D297353CC}">
                <c16:uniqueId val="{00000001-F448-46F6-A335-91040CF36F36}"/>
              </c:ext>
            </c:extLst>
          </c:dPt>
          <c:dPt>
            <c:idx val="1"/>
            <c:bubble3D val="0"/>
            <c:spPr>
              <a:solidFill>
                <a:srgbClr val="002060"/>
              </a:solidFill>
              <a:ln w="9525" cap="flat" cmpd="sng" algn="ctr">
                <a:solidFill>
                  <a:schemeClr val="accent1">
                    <a:shade val="95000"/>
                  </a:schemeClr>
                </a:solidFill>
                <a:round/>
              </a:ln>
              <a:effectLst/>
            </c:spPr>
            <c:extLst>
              <c:ext xmlns:c16="http://schemas.microsoft.com/office/drawing/2014/chart" uri="{C3380CC4-5D6E-409C-BE32-E72D297353CC}">
                <c16:uniqueId val="{00000003-F448-46F6-A335-91040CF36F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235</c:v>
                </c:pt>
                <c:pt idx="1">
                  <c:v>244</c:v>
                </c:pt>
              </c:numCache>
            </c:numRef>
          </c:val>
          <c:extLst>
            <c:ext xmlns:c16="http://schemas.microsoft.com/office/drawing/2014/chart" uri="{C3380CC4-5D6E-409C-BE32-E72D297353CC}">
              <c16:uniqueId val="{00000004-F448-46F6-A335-91040CF36F36}"/>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t"/>
      <c:layout>
        <c:manualLayout>
          <c:xMode val="edge"/>
          <c:yMode val="edge"/>
          <c:x val="0.15016979312254131"/>
          <c:y val="1.7547410390819487E-2"/>
          <c:w val="0.5582755615485131"/>
          <c:h val="0.15609438468379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26362307234271"/>
          <c:y val="8.8157875251747425E-2"/>
          <c:w val="0.51398436244299284"/>
          <c:h val="0.72260673350313942"/>
        </c:manualLayout>
      </c:layout>
      <c:barChart>
        <c:barDir val="bar"/>
        <c:grouping val="clustered"/>
        <c:varyColors val="0"/>
        <c:ser>
          <c:idx val="0"/>
          <c:order val="0"/>
          <c:tx>
            <c:strRef>
              <c:f>'Pivot Report'!$B$78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Report'!$B$79:$B$87</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CEB1-4179-B92F-86EE45B8F989}"/>
            </c:ext>
          </c:extLst>
        </c:ser>
        <c:dLbls>
          <c:showLegendKey val="0"/>
          <c:showVal val="0"/>
          <c:showCatName val="0"/>
          <c:showSerName val="0"/>
          <c:showPercent val="0"/>
          <c:showBubbleSize val="0"/>
        </c:dLbls>
        <c:gapWidth val="174"/>
        <c:axId val="500272896"/>
        <c:axId val="500273376"/>
      </c:barChart>
      <c:catAx>
        <c:axId val="50027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73376"/>
        <c:crosses val="autoZero"/>
        <c:auto val="1"/>
        <c:lblAlgn val="l"/>
        <c:lblOffset val="100"/>
        <c:noMultiLvlLbl val="0"/>
      </c:catAx>
      <c:valAx>
        <c:axId val="5002733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EE58-4EE4-AB4E-88A8E4B6E4C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2978623"/>
        <c:axId val="1472976223"/>
      </c:areaChart>
      <c:catAx>
        <c:axId val="14729786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2976223"/>
        <c:crosses val="autoZero"/>
        <c:auto val="1"/>
        <c:lblAlgn val="ctr"/>
        <c:lblOffset val="100"/>
        <c:noMultiLvlLbl val="0"/>
      </c:catAx>
      <c:valAx>
        <c:axId val="1472976223"/>
        <c:scaling>
          <c:orientation val="minMax"/>
        </c:scaling>
        <c:delete val="1"/>
        <c:axPos val="l"/>
        <c:numFmt formatCode="0.00" sourceLinked="1"/>
        <c:majorTickMark val="out"/>
        <c:minorTickMark val="none"/>
        <c:tickLblPos val="nextTo"/>
        <c:crossAx val="1472978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E446-4E95-9EB3-2384B4E0A60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2957583"/>
        <c:axId val="1472955663"/>
      </c:areaChart>
      <c:catAx>
        <c:axId val="14729575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2955663"/>
        <c:crosses val="autoZero"/>
        <c:auto val="1"/>
        <c:lblAlgn val="ctr"/>
        <c:lblOffset val="100"/>
        <c:noMultiLvlLbl val="0"/>
      </c:catAx>
      <c:valAx>
        <c:axId val="1472955663"/>
        <c:scaling>
          <c:orientation val="minMax"/>
        </c:scaling>
        <c:delete val="1"/>
        <c:axPos val="l"/>
        <c:numFmt formatCode="General" sourceLinked="1"/>
        <c:majorTickMark val="out"/>
        <c:minorTickMark val="none"/>
        <c:tickLblPos val="nextTo"/>
        <c:crossAx val="1472957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26772861227665E-2"/>
          <c:y val="0"/>
          <c:w val="0.89796849950883184"/>
          <c:h val="0.56635295232874683"/>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9147-4D27-A1B1-22B0C89C74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3673039"/>
        <c:axId val="2093673999"/>
      </c:areaChart>
      <c:catAx>
        <c:axId val="20936730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3673999"/>
        <c:crosses val="autoZero"/>
        <c:auto val="1"/>
        <c:lblAlgn val="ctr"/>
        <c:lblOffset val="100"/>
        <c:noMultiLvlLbl val="0"/>
      </c:catAx>
      <c:valAx>
        <c:axId val="2093673999"/>
        <c:scaling>
          <c:orientation val="minMax"/>
        </c:scaling>
        <c:delete val="1"/>
        <c:axPos val="l"/>
        <c:numFmt formatCode="0.00" sourceLinked="1"/>
        <c:majorTickMark val="out"/>
        <c:minorTickMark val="none"/>
        <c:tickLblPos val="nextTo"/>
        <c:crossAx val="2093673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 rate'!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DailyEr visits'!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WAIT!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9.xml"/><Relationship Id="rId1" Type="http://schemas.openxmlformats.org/officeDocument/2006/relationships/hyperlink" Target="#AVERAGEWAIT!A1"/><Relationship Id="rId5" Type="http://schemas.openxmlformats.org/officeDocument/2006/relationships/image" Target="../media/image11.sv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2323476</xdr:colOff>
      <xdr:row>46</xdr:row>
      <xdr:rowOff>80315</xdr:rowOff>
    </xdr:from>
    <xdr:to>
      <xdr:col>3</xdr:col>
      <xdr:colOff>1612349</xdr:colOff>
      <xdr:row>49</xdr:row>
      <xdr:rowOff>119239</xdr:rowOff>
    </xdr:to>
    <xdr:graphicFrame macro="">
      <xdr:nvGraphicFramePr>
        <xdr:cNvPr id="2" name="Chart 1">
          <a:extLst>
            <a:ext uri="{FF2B5EF4-FFF2-40B4-BE49-F238E27FC236}">
              <a16:creationId xmlns:a16="http://schemas.microsoft.com/office/drawing/2014/main" id="{FFE22DED-6E9C-173C-D598-BE587BD1F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68580</xdr:rowOff>
    </xdr:from>
    <xdr:to>
      <xdr:col>5</xdr:col>
      <xdr:colOff>297180</xdr:colOff>
      <xdr:row>2</xdr:row>
      <xdr:rowOff>160020</xdr:rowOff>
    </xdr:to>
    <xdr:sp macro="" textlink="">
      <xdr:nvSpPr>
        <xdr:cNvPr id="2" name="Rectangle: Rounded Corners 1">
          <a:extLst>
            <a:ext uri="{FF2B5EF4-FFF2-40B4-BE49-F238E27FC236}">
              <a16:creationId xmlns:a16="http://schemas.microsoft.com/office/drawing/2014/main" id="{6123C39A-B928-D042-CCF6-EF7197C5136D}"/>
            </a:ext>
          </a:extLst>
        </xdr:cNvPr>
        <xdr:cNvSpPr/>
      </xdr:nvSpPr>
      <xdr:spPr>
        <a:xfrm>
          <a:off x="76200" y="68580"/>
          <a:ext cx="3268980" cy="457200"/>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5</xdr:col>
      <xdr:colOff>342899</xdr:colOff>
      <xdr:row>0</xdr:row>
      <xdr:rowOff>45720</xdr:rowOff>
    </xdr:from>
    <xdr:to>
      <xdr:col>7</xdr:col>
      <xdr:colOff>238124</xdr:colOff>
      <xdr:row>2</xdr:row>
      <xdr:rowOff>152400</xdr:rowOff>
    </xdr:to>
    <xdr:sp macro="" textlink="">
      <xdr:nvSpPr>
        <xdr:cNvPr id="3" name="Rectangle: Rounded Corners 2">
          <a:extLst>
            <a:ext uri="{FF2B5EF4-FFF2-40B4-BE49-F238E27FC236}">
              <a16:creationId xmlns:a16="http://schemas.microsoft.com/office/drawing/2014/main" id="{8A348795-6122-4A32-BCE7-3947F385EB0A}"/>
            </a:ext>
          </a:extLst>
        </xdr:cNvPr>
        <xdr:cNvSpPr/>
      </xdr:nvSpPr>
      <xdr:spPr>
        <a:xfrm>
          <a:off x="3390899" y="45720"/>
          <a:ext cx="1114425" cy="468630"/>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300990</xdr:colOff>
      <xdr:row>0</xdr:row>
      <xdr:rowOff>22861</xdr:rowOff>
    </xdr:from>
    <xdr:to>
      <xdr:col>10</xdr:col>
      <xdr:colOff>57150</xdr:colOff>
      <xdr:row>7</xdr:row>
      <xdr:rowOff>161926</xdr:rowOff>
    </xdr:to>
    <xdr:sp macro="" textlink="">
      <xdr:nvSpPr>
        <xdr:cNvPr id="4" name="Rectangle: Rounded Corners 3">
          <a:extLst>
            <a:ext uri="{FF2B5EF4-FFF2-40B4-BE49-F238E27FC236}">
              <a16:creationId xmlns:a16="http://schemas.microsoft.com/office/drawing/2014/main" id="{47E53355-3B8A-4DFC-9A1E-1FB74223246A}"/>
            </a:ext>
          </a:extLst>
        </xdr:cNvPr>
        <xdr:cNvSpPr/>
      </xdr:nvSpPr>
      <xdr:spPr>
        <a:xfrm>
          <a:off x="4568190" y="22861"/>
          <a:ext cx="1584960" cy="1405890"/>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112668</xdr:colOff>
      <xdr:row>8</xdr:row>
      <xdr:rowOff>60960</xdr:rowOff>
    </xdr:from>
    <xdr:to>
      <xdr:col>1</xdr:col>
      <xdr:colOff>383741</xdr:colOff>
      <xdr:row>21</xdr:row>
      <xdr:rowOff>123825</xdr:rowOff>
    </xdr:to>
    <xdr:sp macro="" textlink="">
      <xdr:nvSpPr>
        <xdr:cNvPr id="7" name="Rectangle: Rounded Corners 6">
          <a:extLst>
            <a:ext uri="{FF2B5EF4-FFF2-40B4-BE49-F238E27FC236}">
              <a16:creationId xmlns:a16="http://schemas.microsoft.com/office/drawing/2014/main" id="{F0FEA876-840A-4A89-AED0-2BFA5A9AA4BB}"/>
            </a:ext>
          </a:extLst>
        </xdr:cNvPr>
        <xdr:cNvSpPr/>
      </xdr:nvSpPr>
      <xdr:spPr>
        <a:xfrm>
          <a:off x="112668" y="1508212"/>
          <a:ext cx="879577" cy="2414649"/>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69828</xdr:colOff>
      <xdr:row>3</xdr:row>
      <xdr:rowOff>22860</xdr:rowOff>
    </xdr:from>
    <xdr:to>
      <xdr:col>7</xdr:col>
      <xdr:colOff>247650</xdr:colOff>
      <xdr:row>7</xdr:row>
      <xdr:rowOff>161925</xdr:rowOff>
    </xdr:to>
    <xdr:sp macro="" textlink="">
      <xdr:nvSpPr>
        <xdr:cNvPr id="11" name="Rectangle: Rounded Corners 10">
          <a:extLst>
            <a:ext uri="{FF2B5EF4-FFF2-40B4-BE49-F238E27FC236}">
              <a16:creationId xmlns:a16="http://schemas.microsoft.com/office/drawing/2014/main" id="{564E8E7E-6F6F-70F1-6B1E-1F05A55706B9}"/>
            </a:ext>
          </a:extLst>
        </xdr:cNvPr>
        <xdr:cNvSpPr/>
      </xdr:nvSpPr>
      <xdr:spPr>
        <a:xfrm>
          <a:off x="3117828" y="565785"/>
          <a:ext cx="1397022" cy="862965"/>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548201</xdr:colOff>
      <xdr:row>8</xdr:row>
      <xdr:rowOff>38374</xdr:rowOff>
    </xdr:from>
    <xdr:to>
      <xdr:col>7</xdr:col>
      <xdr:colOff>183304</xdr:colOff>
      <xdr:row>13</xdr:row>
      <xdr:rowOff>47625</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6F2F55D0-AB9D-4CA3-95B9-AAD2EF90D88C}"/>
            </a:ext>
          </a:extLst>
        </xdr:cNvPr>
        <xdr:cNvSpPr/>
      </xdr:nvSpPr>
      <xdr:spPr>
        <a:xfrm>
          <a:off x="1156705" y="1485626"/>
          <a:ext cx="3286124" cy="913783"/>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542719</xdr:colOff>
      <xdr:row>13</xdr:row>
      <xdr:rowOff>87712</xdr:rowOff>
    </xdr:from>
    <xdr:to>
      <xdr:col>7</xdr:col>
      <xdr:colOff>228600</xdr:colOff>
      <xdr:row>21</xdr:row>
      <xdr:rowOff>104775</xdr:rowOff>
    </xdr:to>
    <xdr:sp macro="" textlink="">
      <xdr:nvSpPr>
        <xdr:cNvPr id="15" name="Rectangle: Rounded Corners 14">
          <a:extLst>
            <a:ext uri="{FF2B5EF4-FFF2-40B4-BE49-F238E27FC236}">
              <a16:creationId xmlns:a16="http://schemas.microsoft.com/office/drawing/2014/main" id="{9AFDC240-15A6-43EE-B6B7-86F9B033D84F}"/>
            </a:ext>
          </a:extLst>
        </xdr:cNvPr>
        <xdr:cNvSpPr/>
      </xdr:nvSpPr>
      <xdr:spPr>
        <a:xfrm>
          <a:off x="1151223" y="2439496"/>
          <a:ext cx="3336902" cy="1464315"/>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304799</xdr:colOff>
      <xdr:row>8</xdr:row>
      <xdr:rowOff>57151</xdr:rowOff>
    </xdr:from>
    <xdr:to>
      <xdr:col>12</xdr:col>
      <xdr:colOff>542924</xdr:colOff>
      <xdr:row>21</xdr:row>
      <xdr:rowOff>104776</xdr:rowOff>
    </xdr:to>
    <xdr:sp macro="" textlink="">
      <xdr:nvSpPr>
        <xdr:cNvPr id="16" name="Rectangle: Rounded Corners 15">
          <a:extLst>
            <a:ext uri="{FF2B5EF4-FFF2-40B4-BE49-F238E27FC236}">
              <a16:creationId xmlns:a16="http://schemas.microsoft.com/office/drawing/2014/main" id="{87A033A5-0085-4979-522A-4BE5401A41ED}"/>
            </a:ext>
          </a:extLst>
        </xdr:cNvPr>
        <xdr:cNvSpPr/>
      </xdr:nvSpPr>
      <xdr:spPr>
        <a:xfrm>
          <a:off x="4571999" y="1504951"/>
          <a:ext cx="3286125" cy="2400300"/>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48063</xdr:colOff>
      <xdr:row>0</xdr:row>
      <xdr:rowOff>104531</xdr:rowOff>
    </xdr:from>
    <xdr:to>
      <xdr:col>5</xdr:col>
      <xdr:colOff>205152</xdr:colOff>
      <xdr:row>1</xdr:row>
      <xdr:rowOff>166078</xdr:rowOff>
    </xdr:to>
    <xdr:sp macro="" textlink="">
      <xdr:nvSpPr>
        <xdr:cNvPr id="17" name="TextBox 16">
          <a:extLst>
            <a:ext uri="{FF2B5EF4-FFF2-40B4-BE49-F238E27FC236}">
              <a16:creationId xmlns:a16="http://schemas.microsoft.com/office/drawing/2014/main" id="{39DC5CED-8A6C-ECDA-6A56-858F862886A4}"/>
            </a:ext>
          </a:extLst>
        </xdr:cNvPr>
        <xdr:cNvSpPr txBox="1"/>
      </xdr:nvSpPr>
      <xdr:spPr>
        <a:xfrm>
          <a:off x="653755" y="104531"/>
          <a:ext cx="2579859" cy="24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1">
                  <a:lumMod val="50000"/>
                </a:schemeClr>
              </a:solidFill>
              <a:effectLst>
                <a:glow rad="63500">
                  <a:schemeClr val="accent3">
                    <a:satMod val="175000"/>
                    <a:alpha val="40000"/>
                  </a:schemeClr>
                </a:glow>
              </a:effectLst>
            </a:rPr>
            <a:t>HOSPITAL</a:t>
          </a:r>
          <a:r>
            <a:rPr lang="en-IN" sz="1100" b="1" baseline="0">
              <a:solidFill>
                <a:schemeClr val="accent1">
                  <a:lumMod val="50000"/>
                </a:schemeClr>
              </a:solidFill>
              <a:effectLst>
                <a:glow rad="63500">
                  <a:schemeClr val="accent3">
                    <a:satMod val="175000"/>
                    <a:alpha val="40000"/>
                  </a:schemeClr>
                </a:glow>
              </a:effectLst>
            </a:rPr>
            <a:t> EMERGENCY ROOM DASHBOARD</a:t>
          </a:r>
          <a:endParaRPr lang="en-IN" sz="1100" b="1">
            <a:solidFill>
              <a:schemeClr val="accent1">
                <a:lumMod val="50000"/>
              </a:schemeClr>
            </a:solidFill>
            <a:effectLst>
              <a:glow rad="63500">
                <a:schemeClr val="accent3">
                  <a:satMod val="175000"/>
                  <a:alpha val="40000"/>
                </a:schemeClr>
              </a:glow>
            </a:effectLst>
          </a:endParaRPr>
        </a:p>
      </xdr:txBody>
    </xdr:sp>
    <xdr:clientData/>
  </xdr:twoCellAnchor>
  <xdr:twoCellAnchor editAs="oneCell">
    <xdr:from>
      <xdr:col>0</xdr:col>
      <xdr:colOff>97692</xdr:colOff>
      <xdr:row>0</xdr:row>
      <xdr:rowOff>78154</xdr:rowOff>
    </xdr:from>
    <xdr:to>
      <xdr:col>1</xdr:col>
      <xdr:colOff>58616</xdr:colOff>
      <xdr:row>2</xdr:row>
      <xdr:rowOff>127000</xdr:rowOff>
    </xdr:to>
    <xdr:pic>
      <xdr:nvPicPr>
        <xdr:cNvPr id="19" name="Picture 18">
          <a:extLst>
            <a:ext uri="{FF2B5EF4-FFF2-40B4-BE49-F238E27FC236}">
              <a16:creationId xmlns:a16="http://schemas.microsoft.com/office/drawing/2014/main" id="{B84D0E37-A6FD-B848-3A7E-C207C88F3F4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241" t="8163" r="16092" b="4080"/>
        <a:stretch>
          <a:fillRect/>
        </a:stretch>
      </xdr:blipFill>
      <xdr:spPr>
        <a:xfrm>
          <a:off x="97692" y="78154"/>
          <a:ext cx="570524" cy="410796"/>
        </a:xfrm>
        <a:prstGeom prst="rect">
          <a:avLst/>
        </a:prstGeom>
      </xdr:spPr>
    </xdr:pic>
    <xdr:clientData/>
  </xdr:twoCellAnchor>
  <xdr:twoCellAnchor editAs="absolute">
    <xdr:from>
      <xdr:col>2</xdr:col>
      <xdr:colOff>190695</xdr:colOff>
      <xdr:row>1</xdr:row>
      <xdr:rowOff>129931</xdr:rowOff>
    </xdr:from>
    <xdr:to>
      <xdr:col>3</xdr:col>
      <xdr:colOff>586155</xdr:colOff>
      <xdr:row>2</xdr:row>
      <xdr:rowOff>146538</xdr:rowOff>
    </xdr:to>
    <xdr:sp macro="" textlink="">
      <xdr:nvSpPr>
        <xdr:cNvPr id="20" name="TextBox 19">
          <a:extLst>
            <a:ext uri="{FF2B5EF4-FFF2-40B4-BE49-F238E27FC236}">
              <a16:creationId xmlns:a16="http://schemas.microsoft.com/office/drawing/2014/main" id="{D20395D8-81BD-F1D8-D592-F86BCF934929}"/>
            </a:ext>
          </a:extLst>
        </xdr:cNvPr>
        <xdr:cNvSpPr txBox="1"/>
      </xdr:nvSpPr>
      <xdr:spPr>
        <a:xfrm>
          <a:off x="1402080" y="315546"/>
          <a:ext cx="1001152" cy="20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1">
                  <a:lumMod val="50000"/>
                </a:schemeClr>
              </a:solidFill>
            </a:rPr>
            <a:t>Monthly</a:t>
          </a:r>
          <a:r>
            <a:rPr lang="en-IN" sz="1100" b="1" baseline="0">
              <a:solidFill>
                <a:schemeClr val="accent1">
                  <a:lumMod val="50000"/>
                </a:schemeClr>
              </a:solidFill>
            </a:rPr>
            <a:t> Report</a:t>
          </a:r>
          <a:endParaRPr lang="en-IN" sz="1100" b="1">
            <a:solidFill>
              <a:schemeClr val="accent1">
                <a:lumMod val="50000"/>
              </a:schemeClr>
            </a:solidFill>
          </a:endParaRPr>
        </a:p>
      </xdr:txBody>
    </xdr:sp>
    <xdr:clientData/>
  </xdr:twoCellAnchor>
  <xdr:twoCellAnchor>
    <xdr:from>
      <xdr:col>2</xdr:col>
      <xdr:colOff>367336</xdr:colOff>
      <xdr:row>3</xdr:row>
      <xdr:rowOff>22860</xdr:rowOff>
    </xdr:from>
    <xdr:to>
      <xdr:col>5</xdr:col>
      <xdr:colOff>12953</xdr:colOff>
      <xdr:row>7</xdr:row>
      <xdr:rowOff>161925</xdr:rowOff>
    </xdr:to>
    <xdr:sp macro="" textlink="">
      <xdr:nvSpPr>
        <xdr:cNvPr id="10" name="Rectangle: Rounded Corners 9">
          <a:extLst>
            <a:ext uri="{FF2B5EF4-FFF2-40B4-BE49-F238E27FC236}">
              <a16:creationId xmlns:a16="http://schemas.microsoft.com/office/drawing/2014/main" id="{B4716321-3D4D-6A18-B199-E49CA3214022}"/>
            </a:ext>
          </a:extLst>
        </xdr:cNvPr>
        <xdr:cNvSpPr/>
      </xdr:nvSpPr>
      <xdr:spPr>
        <a:xfrm>
          <a:off x="1586536" y="565785"/>
          <a:ext cx="1474417" cy="862965"/>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555923</xdr:colOff>
      <xdr:row>5</xdr:row>
      <xdr:rowOff>56504</xdr:rowOff>
    </xdr:from>
    <xdr:to>
      <xdr:col>5</xdr:col>
      <xdr:colOff>157836</xdr:colOff>
      <xdr:row>6</xdr:row>
      <xdr:rowOff>57151</xdr:rowOff>
    </xdr:to>
    <xdr:sp macro="" textlink="">
      <xdr:nvSpPr>
        <xdr:cNvPr id="13" name="TextBox 12">
          <a:extLst>
            <a:ext uri="{FF2B5EF4-FFF2-40B4-BE49-F238E27FC236}">
              <a16:creationId xmlns:a16="http://schemas.microsoft.com/office/drawing/2014/main" id="{304A63C0-05CE-748B-36D8-DD0D05269E79}"/>
            </a:ext>
          </a:extLst>
        </xdr:cNvPr>
        <xdr:cNvSpPr txBox="1"/>
      </xdr:nvSpPr>
      <xdr:spPr>
        <a:xfrm>
          <a:off x="1775123" y="961379"/>
          <a:ext cx="1430713" cy="181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1">
                  <a:lumMod val="50000"/>
                </a:schemeClr>
              </a:solidFill>
            </a:rPr>
            <a:t>Average</a:t>
          </a:r>
          <a:r>
            <a:rPr lang="en-IN" sz="1100" b="1" baseline="0">
              <a:solidFill>
                <a:schemeClr val="accent1">
                  <a:lumMod val="50000"/>
                </a:schemeClr>
              </a:solidFill>
            </a:rPr>
            <a:t> Wait Time</a:t>
          </a:r>
          <a:endParaRPr lang="en-IN" sz="1100" b="1">
            <a:solidFill>
              <a:schemeClr val="accent1">
                <a:lumMod val="50000"/>
              </a:schemeClr>
            </a:solidFill>
          </a:endParaRPr>
        </a:p>
      </xdr:txBody>
    </xdr:sp>
    <xdr:clientData/>
  </xdr:twoCellAnchor>
  <xdr:twoCellAnchor>
    <xdr:from>
      <xdr:col>3</xdr:col>
      <xdr:colOff>274069</xdr:colOff>
      <xdr:row>4</xdr:row>
      <xdr:rowOff>44801</xdr:rowOff>
    </xdr:from>
    <xdr:to>
      <xdr:col>5</xdr:col>
      <xdr:colOff>304800</xdr:colOff>
      <xdr:row>5</xdr:row>
      <xdr:rowOff>109044</xdr:rowOff>
    </xdr:to>
    <xdr:sp macro="" textlink="'Pivot Report'!A9">
      <xdr:nvSpPr>
        <xdr:cNvPr id="18" name="TextBox 17">
          <a:extLst>
            <a:ext uri="{FF2B5EF4-FFF2-40B4-BE49-F238E27FC236}">
              <a16:creationId xmlns:a16="http://schemas.microsoft.com/office/drawing/2014/main" id="{BC189BB3-613B-4095-E437-686D2BF244FB}"/>
            </a:ext>
          </a:extLst>
        </xdr:cNvPr>
        <xdr:cNvSpPr txBox="1"/>
      </xdr:nvSpPr>
      <xdr:spPr>
        <a:xfrm>
          <a:off x="2102869" y="768701"/>
          <a:ext cx="1249931" cy="245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C803642-C633-4982-A19B-00E9DA8708BB}" type="TxLink">
            <a:rPr lang="en-US" sz="1100" b="0" i="0" u="none" strike="noStrike">
              <a:solidFill>
                <a:srgbClr val="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pPr/>
            <a:t>34.90</a:t>
          </a:fld>
          <a:endParaRPr lang="en-US" sz="1100" b="0" i="0" u="none" strike="noStrike">
            <a:solidFill>
              <a:srgbClr val="00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5</xdr:col>
      <xdr:colOff>219904</xdr:colOff>
      <xdr:row>5</xdr:row>
      <xdr:rowOff>53731</xdr:rowOff>
    </xdr:from>
    <xdr:to>
      <xdr:col>7</xdr:col>
      <xdr:colOff>140970</xdr:colOff>
      <xdr:row>6</xdr:row>
      <xdr:rowOff>86360</xdr:rowOff>
    </xdr:to>
    <xdr:sp macro="" textlink="">
      <xdr:nvSpPr>
        <xdr:cNvPr id="21" name="TextBox 20">
          <a:extLst>
            <a:ext uri="{FF2B5EF4-FFF2-40B4-BE49-F238E27FC236}">
              <a16:creationId xmlns:a16="http://schemas.microsoft.com/office/drawing/2014/main" id="{78051361-A6C7-3D62-A1FD-6520AE67BB3B}"/>
            </a:ext>
          </a:extLst>
        </xdr:cNvPr>
        <xdr:cNvSpPr txBox="1"/>
      </xdr:nvSpPr>
      <xdr:spPr>
        <a:xfrm>
          <a:off x="3267904" y="958606"/>
          <a:ext cx="1140266" cy="21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baseline="0">
              <a:solidFill>
                <a:schemeClr val="accent1">
                  <a:lumMod val="50000"/>
                </a:schemeClr>
              </a:solidFill>
            </a:rPr>
            <a:t> Satisfacton Score</a:t>
          </a:r>
          <a:endParaRPr lang="en-IN" sz="1100" b="1">
            <a:solidFill>
              <a:schemeClr val="accent1">
                <a:lumMod val="50000"/>
              </a:schemeClr>
            </a:solidFill>
          </a:endParaRPr>
        </a:p>
      </xdr:txBody>
    </xdr:sp>
    <xdr:clientData/>
  </xdr:twoCellAnchor>
  <xdr:twoCellAnchor>
    <xdr:from>
      <xdr:col>5</xdr:col>
      <xdr:colOff>545660</xdr:colOff>
      <xdr:row>4</xdr:row>
      <xdr:rowOff>61986</xdr:rowOff>
    </xdr:from>
    <xdr:to>
      <xdr:col>7</xdr:col>
      <xdr:colOff>331520</xdr:colOff>
      <xdr:row>5</xdr:row>
      <xdr:rowOff>78593</xdr:rowOff>
    </xdr:to>
    <xdr:sp macro="" textlink="'Pivot Report'!A13">
      <xdr:nvSpPr>
        <xdr:cNvPr id="22" name="TextBox 21">
          <a:extLst>
            <a:ext uri="{FF2B5EF4-FFF2-40B4-BE49-F238E27FC236}">
              <a16:creationId xmlns:a16="http://schemas.microsoft.com/office/drawing/2014/main" id="{4D0AC6B0-AD41-B022-083D-518DF012448A}"/>
            </a:ext>
          </a:extLst>
        </xdr:cNvPr>
        <xdr:cNvSpPr txBox="1"/>
      </xdr:nvSpPr>
      <xdr:spPr>
        <a:xfrm>
          <a:off x="3593660" y="785886"/>
          <a:ext cx="1005060" cy="19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A8FA872-2D35-4756-BD58-54B7BDE9B204}" type="TxLink">
            <a:rPr lang="en-US" sz="1100" b="0" i="0" u="none" strike="noStrike">
              <a:solidFill>
                <a:srgbClr val="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pPr/>
            <a:t>5.30</a:t>
          </a:fld>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93346</xdr:colOff>
      <xdr:row>3</xdr:row>
      <xdr:rowOff>22860</xdr:rowOff>
    </xdr:from>
    <xdr:to>
      <xdr:col>2</xdr:col>
      <xdr:colOff>314326</xdr:colOff>
      <xdr:row>7</xdr:row>
      <xdr:rowOff>161925</xdr:rowOff>
    </xdr:to>
    <xdr:sp macro="" textlink="">
      <xdr:nvSpPr>
        <xdr:cNvPr id="8" name="Rectangle: Rounded Corners 7">
          <a:extLst>
            <a:ext uri="{FF2B5EF4-FFF2-40B4-BE49-F238E27FC236}">
              <a16:creationId xmlns:a16="http://schemas.microsoft.com/office/drawing/2014/main" id="{00433D6F-A231-16C4-6C99-CD62D09D7A45}"/>
            </a:ext>
          </a:extLst>
        </xdr:cNvPr>
        <xdr:cNvSpPr/>
      </xdr:nvSpPr>
      <xdr:spPr>
        <a:xfrm>
          <a:off x="93346" y="565785"/>
          <a:ext cx="1440180" cy="862965"/>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400808</xdr:colOff>
      <xdr:row>5</xdr:row>
      <xdr:rowOff>58232</xdr:rowOff>
    </xdr:from>
    <xdr:to>
      <xdr:col>2</xdr:col>
      <xdr:colOff>473589</xdr:colOff>
      <xdr:row>6</xdr:row>
      <xdr:rowOff>127888</xdr:rowOff>
    </xdr:to>
    <xdr:sp macro="" textlink="">
      <xdr:nvSpPr>
        <xdr:cNvPr id="5" name="TextBox 4">
          <a:extLst>
            <a:ext uri="{FF2B5EF4-FFF2-40B4-BE49-F238E27FC236}">
              <a16:creationId xmlns:a16="http://schemas.microsoft.com/office/drawing/2014/main" id="{9C9BCFC4-5C63-EAF1-8222-912F1651195E}"/>
            </a:ext>
          </a:extLst>
        </xdr:cNvPr>
        <xdr:cNvSpPr txBox="1"/>
      </xdr:nvSpPr>
      <xdr:spPr>
        <a:xfrm>
          <a:off x="400808" y="963107"/>
          <a:ext cx="1291981" cy="250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1">
                  <a:lumMod val="50000"/>
                </a:schemeClr>
              </a:solidFill>
            </a:rPr>
            <a:t>No</a:t>
          </a:r>
          <a:r>
            <a:rPr lang="en-IN" sz="1100" b="1" baseline="0">
              <a:solidFill>
                <a:schemeClr val="accent1">
                  <a:lumMod val="50000"/>
                </a:schemeClr>
              </a:solidFill>
            </a:rPr>
            <a:t>. of Patient</a:t>
          </a:r>
          <a:endParaRPr lang="en-IN" sz="1100" b="1">
            <a:solidFill>
              <a:schemeClr val="accent1">
                <a:lumMod val="50000"/>
              </a:schemeClr>
            </a:solidFill>
          </a:endParaRPr>
        </a:p>
      </xdr:txBody>
    </xdr:sp>
    <xdr:clientData/>
  </xdr:twoCellAnchor>
  <xdr:twoCellAnchor>
    <xdr:from>
      <xdr:col>0</xdr:col>
      <xdr:colOff>593969</xdr:colOff>
      <xdr:row>4</xdr:row>
      <xdr:rowOff>66228</xdr:rowOff>
    </xdr:from>
    <xdr:to>
      <xdr:col>3</xdr:col>
      <xdr:colOff>57150</xdr:colOff>
      <xdr:row>5</xdr:row>
      <xdr:rowOff>135884</xdr:rowOff>
    </xdr:to>
    <xdr:sp macro="" textlink="'Pivot Report'!A5">
      <xdr:nvSpPr>
        <xdr:cNvPr id="9" name="TextBox 8">
          <a:extLst>
            <a:ext uri="{FF2B5EF4-FFF2-40B4-BE49-F238E27FC236}">
              <a16:creationId xmlns:a16="http://schemas.microsoft.com/office/drawing/2014/main" id="{45033727-3454-2B1D-F42E-8546360121FA}"/>
            </a:ext>
          </a:extLst>
        </xdr:cNvPr>
        <xdr:cNvSpPr txBox="1"/>
      </xdr:nvSpPr>
      <xdr:spPr>
        <a:xfrm>
          <a:off x="593969" y="790128"/>
          <a:ext cx="1291981" cy="250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5021CC5-9210-442B-8016-67736D000CC8}" type="TxLink">
            <a:rPr lang="en-US" sz="1100" b="0" i="0" u="none" strike="noStrike">
              <a:solidFill>
                <a:srgbClr val="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pPr/>
            <a:t>479</a:t>
          </a:fld>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xdr:col>
      <xdr:colOff>21280</xdr:colOff>
      <xdr:row>3</xdr:row>
      <xdr:rowOff>51576</xdr:rowOff>
    </xdr:from>
    <xdr:to>
      <xdr:col>2</xdr:col>
      <xdr:colOff>308610</xdr:colOff>
      <xdr:row>4</xdr:row>
      <xdr:rowOff>151718</xdr:rowOff>
    </xdr:to>
    <xdr:pic>
      <xdr:nvPicPr>
        <xdr:cNvPr id="24" name="Graphic 23" descr="Male profile with solid fill">
          <a:extLst>
            <a:ext uri="{FF2B5EF4-FFF2-40B4-BE49-F238E27FC236}">
              <a16:creationId xmlns:a16="http://schemas.microsoft.com/office/drawing/2014/main" id="{772B6739-B187-3BAD-1DD6-8ECB2FC70D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40480" y="594501"/>
          <a:ext cx="287330" cy="281117"/>
        </a:xfrm>
        <a:prstGeom prst="rect">
          <a:avLst/>
        </a:prstGeom>
      </xdr:spPr>
    </xdr:pic>
    <xdr:clientData/>
  </xdr:twoCellAnchor>
  <xdr:twoCellAnchor editAs="oneCell">
    <xdr:from>
      <xdr:col>6</xdr:col>
      <xdr:colOff>546100</xdr:colOff>
      <xdr:row>3</xdr:row>
      <xdr:rowOff>61595</xdr:rowOff>
    </xdr:from>
    <xdr:to>
      <xdr:col>7</xdr:col>
      <xdr:colOff>190500</xdr:colOff>
      <xdr:row>4</xdr:row>
      <xdr:rowOff>132715</xdr:rowOff>
    </xdr:to>
    <xdr:pic>
      <xdr:nvPicPr>
        <xdr:cNvPr id="26" name="Graphic 25" descr="Stars with solid fill">
          <a:extLst>
            <a:ext uri="{FF2B5EF4-FFF2-40B4-BE49-F238E27FC236}">
              <a16:creationId xmlns:a16="http://schemas.microsoft.com/office/drawing/2014/main" id="{3F8962CA-34D5-C32D-CD83-58050FA076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03700" y="604520"/>
          <a:ext cx="254000" cy="252095"/>
        </a:xfrm>
        <a:prstGeom prst="rect">
          <a:avLst/>
        </a:prstGeom>
      </xdr:spPr>
    </xdr:pic>
    <xdr:clientData/>
  </xdr:twoCellAnchor>
  <xdr:twoCellAnchor editAs="oneCell">
    <xdr:from>
      <xdr:col>4</xdr:col>
      <xdr:colOff>309245</xdr:colOff>
      <xdr:row>3</xdr:row>
      <xdr:rowOff>49530</xdr:rowOff>
    </xdr:from>
    <xdr:to>
      <xdr:col>4</xdr:col>
      <xdr:colOff>583565</xdr:colOff>
      <xdr:row>4</xdr:row>
      <xdr:rowOff>140970</xdr:rowOff>
    </xdr:to>
    <xdr:pic>
      <xdr:nvPicPr>
        <xdr:cNvPr id="28" name="Graphic 27" descr="Clock with solid fill">
          <a:extLst>
            <a:ext uri="{FF2B5EF4-FFF2-40B4-BE49-F238E27FC236}">
              <a16:creationId xmlns:a16="http://schemas.microsoft.com/office/drawing/2014/main" id="{DEEF3738-0354-BD1C-F2A2-3602B92FF1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7645" y="592455"/>
          <a:ext cx="274320" cy="272415"/>
        </a:xfrm>
        <a:prstGeom prst="rect">
          <a:avLst/>
        </a:prstGeom>
      </xdr:spPr>
    </xdr:pic>
    <xdr:clientData/>
  </xdr:twoCellAnchor>
  <xdr:twoCellAnchor>
    <xdr:from>
      <xdr:col>10</xdr:col>
      <xdr:colOff>110490</xdr:colOff>
      <xdr:row>0</xdr:row>
      <xdr:rowOff>22861</xdr:rowOff>
    </xdr:from>
    <xdr:to>
      <xdr:col>12</xdr:col>
      <xdr:colOff>476250</xdr:colOff>
      <xdr:row>7</xdr:row>
      <xdr:rowOff>161926</xdr:rowOff>
    </xdr:to>
    <xdr:sp macro="" textlink="">
      <xdr:nvSpPr>
        <xdr:cNvPr id="44" name="Rectangle: Rounded Corners 43">
          <a:extLst>
            <a:ext uri="{FF2B5EF4-FFF2-40B4-BE49-F238E27FC236}">
              <a16:creationId xmlns:a16="http://schemas.microsoft.com/office/drawing/2014/main" id="{3F5E58CD-58F2-537F-0445-C40CE71200A2}"/>
            </a:ext>
          </a:extLst>
        </xdr:cNvPr>
        <xdr:cNvSpPr/>
      </xdr:nvSpPr>
      <xdr:spPr>
        <a:xfrm>
          <a:off x="6206490" y="22861"/>
          <a:ext cx="1584960" cy="1405890"/>
        </a:xfrm>
        <a:prstGeom prst="roundRect">
          <a:avLst/>
        </a:prstGeom>
        <a:solidFill>
          <a:srgbClr val="FCE4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148014</xdr:colOff>
      <xdr:row>8</xdr:row>
      <xdr:rowOff>174603</xdr:rowOff>
    </xdr:from>
    <xdr:to>
      <xdr:col>1</xdr:col>
      <xdr:colOff>348655</xdr:colOff>
      <xdr:row>21</xdr:row>
      <xdr:rowOff>69827</xdr:rowOff>
    </xdr:to>
    <mc:AlternateContent xmlns:mc="http://schemas.openxmlformats.org/markup-compatibility/2006" xmlns:a14="http://schemas.microsoft.com/office/drawing/2010/main">
      <mc:Choice Requires="a14">
        <xdr:graphicFrame macro="">
          <xdr:nvGraphicFramePr>
            <xdr:cNvPr id="45" name="Date (Month)">
              <a:extLst>
                <a:ext uri="{FF2B5EF4-FFF2-40B4-BE49-F238E27FC236}">
                  <a16:creationId xmlns:a16="http://schemas.microsoft.com/office/drawing/2014/main" id="{A8D7B4CE-A520-4AEE-B641-3F3FED07530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8014" y="1663161"/>
              <a:ext cx="812013" cy="231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68140</xdr:colOff>
      <xdr:row>4</xdr:row>
      <xdr:rowOff>121920</xdr:rowOff>
    </xdr:from>
    <xdr:to>
      <xdr:col>2</xdr:col>
      <xdr:colOff>289559</xdr:colOff>
      <xdr:row>8</xdr:row>
      <xdr:rowOff>47626</xdr:rowOff>
    </xdr:to>
    <xdr:graphicFrame macro="">
      <xdr:nvGraphicFramePr>
        <xdr:cNvPr id="47" name="Chart 46">
          <a:hlinkClick xmlns:r="http://schemas.openxmlformats.org/officeDocument/2006/relationships" r:id="rId1"/>
          <a:extLst>
            <a:ext uri="{FF2B5EF4-FFF2-40B4-BE49-F238E27FC236}">
              <a16:creationId xmlns:a16="http://schemas.microsoft.com/office/drawing/2014/main" id="{ED8F6CBD-1518-9A3F-9D52-B4CDC1869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347476</xdr:colOff>
      <xdr:row>5</xdr:row>
      <xdr:rowOff>131704</xdr:rowOff>
    </xdr:from>
    <xdr:to>
      <xdr:col>5</xdr:col>
      <xdr:colOff>16299</xdr:colOff>
      <xdr:row>8</xdr:row>
      <xdr:rowOff>61124</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C3964A36-19DB-4D0F-897A-37E3DCFE5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8861</xdr:colOff>
      <xdr:row>5</xdr:row>
      <xdr:rowOff>35442</xdr:rowOff>
    </xdr:from>
    <xdr:to>
      <xdr:col>7</xdr:col>
      <xdr:colOff>318976</xdr:colOff>
      <xdr:row>8</xdr:row>
      <xdr:rowOff>53164</xdr:rowOff>
    </xdr:to>
    <xdr:graphicFrame macro="">
      <xdr:nvGraphicFramePr>
        <xdr:cNvPr id="49" name="Chart 48">
          <a:hlinkClick xmlns:r="http://schemas.openxmlformats.org/officeDocument/2006/relationships" r:id="rId12"/>
          <a:extLst>
            <a:ext uri="{FF2B5EF4-FFF2-40B4-BE49-F238E27FC236}">
              <a16:creationId xmlns:a16="http://schemas.microsoft.com/office/drawing/2014/main" id="{4E2D2886-D47D-4E2B-AD50-EF71228A5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593651</xdr:colOff>
          <xdr:row>9</xdr:row>
          <xdr:rowOff>1</xdr:rowOff>
        </xdr:from>
        <xdr:to>
          <xdr:col>7</xdr:col>
          <xdr:colOff>150627</xdr:colOff>
          <xdr:row>12</xdr:row>
          <xdr:rowOff>44303</xdr:rowOff>
        </xdr:to>
        <xdr:pic>
          <xdr:nvPicPr>
            <xdr:cNvPr id="12" name="Picture 11">
              <a:extLst>
                <a:ext uri="{FF2B5EF4-FFF2-40B4-BE49-F238E27FC236}">
                  <a16:creationId xmlns:a16="http://schemas.microsoft.com/office/drawing/2014/main" id="{3EB62418-0DFD-AE17-76A0-6A2D90DA1B70}"/>
                </a:ext>
              </a:extLst>
            </xdr:cNvPr>
            <xdr:cNvPicPr>
              <a:picLocks noChangeAspect="1" noChangeArrowheads="1"/>
              <a:extLst>
                <a:ext uri="{84589F7E-364E-4C9E-8A38-B11213B215E9}">
                  <a14:cameraTool cellRange="'Pivot Report'!$A$47:$D$49" spid="_x0000_s1035"/>
                </a:ext>
              </a:extLst>
            </xdr:cNvPicPr>
          </xdr:nvPicPr>
          <xdr:blipFill>
            <a:blip xmlns:r="http://schemas.openxmlformats.org/officeDocument/2006/relationships" r:embed="rId14"/>
            <a:srcRect/>
            <a:stretch>
              <a:fillRect/>
            </a:stretch>
          </xdr:blipFill>
          <xdr:spPr bwMode="auto">
            <a:xfrm>
              <a:off x="1205023" y="1674629"/>
              <a:ext cx="3225209" cy="60251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twoCellAnchor>
    <xdr:from>
      <xdr:col>2</xdr:col>
      <xdr:colOff>57149</xdr:colOff>
      <xdr:row>14</xdr:row>
      <xdr:rowOff>6350</xdr:rowOff>
    </xdr:from>
    <xdr:to>
      <xdr:col>7</xdr:col>
      <xdr:colOff>37096</xdr:colOff>
      <xdr:row>20</xdr:row>
      <xdr:rowOff>147386</xdr:rowOff>
    </xdr:to>
    <xdr:graphicFrame macro="">
      <xdr:nvGraphicFramePr>
        <xdr:cNvPr id="25" name="Chart 24">
          <a:extLst>
            <a:ext uri="{FF2B5EF4-FFF2-40B4-BE49-F238E27FC236}">
              <a16:creationId xmlns:a16="http://schemas.microsoft.com/office/drawing/2014/main" id="{52DA5068-1B9A-47BC-AD8E-3FA597789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240674</xdr:colOff>
      <xdr:row>20</xdr:row>
      <xdr:rowOff>108054</xdr:rowOff>
    </xdr:from>
    <xdr:to>
      <xdr:col>6</xdr:col>
      <xdr:colOff>69849</xdr:colOff>
      <xdr:row>21</xdr:row>
      <xdr:rowOff>177607</xdr:rowOff>
    </xdr:to>
    <xdr:sp macro="" textlink="">
      <xdr:nvSpPr>
        <xdr:cNvPr id="27" name="TextBox 26">
          <a:extLst>
            <a:ext uri="{FF2B5EF4-FFF2-40B4-BE49-F238E27FC236}">
              <a16:creationId xmlns:a16="http://schemas.microsoft.com/office/drawing/2014/main" id="{F5998B64-8C78-4157-9BFD-64D3806D5921}"/>
            </a:ext>
          </a:extLst>
        </xdr:cNvPr>
        <xdr:cNvSpPr txBox="1"/>
      </xdr:nvSpPr>
      <xdr:spPr>
        <a:xfrm>
          <a:off x="2069474" y="3791054"/>
          <a:ext cx="1657975" cy="25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1">
                  <a:lumMod val="50000"/>
                </a:schemeClr>
              </a:solidFill>
            </a:rPr>
            <a:t>No</a:t>
          </a:r>
          <a:r>
            <a:rPr lang="en-IN" sz="1100" b="1" baseline="0">
              <a:solidFill>
                <a:schemeClr val="accent1">
                  <a:lumMod val="50000"/>
                </a:schemeClr>
              </a:solidFill>
            </a:rPr>
            <a:t>. of Patient by Age Group</a:t>
          </a:r>
          <a:endParaRPr lang="en-IN" sz="1100" b="1">
            <a:solidFill>
              <a:schemeClr val="accent1">
                <a:lumMod val="50000"/>
              </a:schemeClr>
            </a:solidFill>
          </a:endParaRPr>
        </a:p>
      </xdr:txBody>
    </xdr:sp>
    <xdr:clientData/>
  </xdr:twoCellAnchor>
  <xdr:twoCellAnchor>
    <xdr:from>
      <xdr:col>7</xdr:col>
      <xdr:colOff>272142</xdr:colOff>
      <xdr:row>0</xdr:row>
      <xdr:rowOff>0</xdr:rowOff>
    </xdr:from>
    <xdr:to>
      <xdr:col>9</xdr:col>
      <xdr:colOff>609599</xdr:colOff>
      <xdr:row>7</xdr:row>
      <xdr:rowOff>136073</xdr:rowOff>
    </xdr:to>
    <xdr:graphicFrame macro="">
      <xdr:nvGraphicFramePr>
        <xdr:cNvPr id="29" name="Chart 28">
          <a:extLst>
            <a:ext uri="{FF2B5EF4-FFF2-40B4-BE49-F238E27FC236}">
              <a16:creationId xmlns:a16="http://schemas.microsoft.com/office/drawing/2014/main" id="{91BBE4E7-77FD-45E4-99C9-E0527E56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70734</xdr:colOff>
      <xdr:row>0</xdr:row>
      <xdr:rowOff>29487</xdr:rowOff>
    </xdr:from>
    <xdr:to>
      <xdr:col>13</xdr:col>
      <xdr:colOff>19879</xdr:colOff>
      <xdr:row>7</xdr:row>
      <xdr:rowOff>139148</xdr:rowOff>
    </xdr:to>
    <xdr:graphicFrame macro="">
      <xdr:nvGraphicFramePr>
        <xdr:cNvPr id="31" name="Chart 30">
          <a:extLst>
            <a:ext uri="{FF2B5EF4-FFF2-40B4-BE49-F238E27FC236}">
              <a16:creationId xmlns:a16="http://schemas.microsoft.com/office/drawing/2014/main" id="{4F8BFD62-7C70-41CF-8733-C77A625A0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498418</xdr:colOff>
      <xdr:row>6</xdr:row>
      <xdr:rowOff>144981</xdr:rowOff>
    </xdr:from>
    <xdr:to>
      <xdr:col>12</xdr:col>
      <xdr:colOff>571199</xdr:colOff>
      <xdr:row>7</xdr:row>
      <xdr:rowOff>135989</xdr:rowOff>
    </xdr:to>
    <xdr:sp macro="" textlink="">
      <xdr:nvSpPr>
        <xdr:cNvPr id="32" name="TextBox 4">
          <a:extLst>
            <a:ext uri="{FF2B5EF4-FFF2-40B4-BE49-F238E27FC236}">
              <a16:creationId xmlns:a16="http://schemas.microsoft.com/office/drawing/2014/main" id="{3EB4752A-83BE-18CB-BB67-084F66FA7D94}"/>
            </a:ext>
          </a:extLst>
        </xdr:cNvPr>
        <xdr:cNvSpPr txBox="1"/>
      </xdr:nvSpPr>
      <xdr:spPr>
        <a:xfrm>
          <a:off x="6639911" y="1236802"/>
          <a:ext cx="1301079" cy="172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100" b="1">
              <a:solidFill>
                <a:schemeClr val="accent1">
                  <a:lumMod val="50000"/>
                </a:schemeClr>
              </a:solidFill>
            </a:rPr>
            <a:t>Patient</a:t>
          </a:r>
          <a:r>
            <a:rPr lang="en-IN" sz="1100" b="1" baseline="0">
              <a:solidFill>
                <a:schemeClr val="accent1">
                  <a:lumMod val="50000"/>
                </a:schemeClr>
              </a:solidFill>
            </a:rPr>
            <a:t> Gender</a:t>
          </a:r>
        </a:p>
        <a:p>
          <a:endParaRPr lang="en-IN" sz="1100" b="1">
            <a:solidFill>
              <a:schemeClr val="accent1">
                <a:lumMod val="50000"/>
              </a:schemeClr>
            </a:solidFill>
          </a:endParaRPr>
        </a:p>
      </xdr:txBody>
    </xdr:sp>
    <xdr:clientData/>
  </xdr:twoCellAnchor>
  <xdr:twoCellAnchor>
    <xdr:from>
      <xdr:col>7</xdr:col>
      <xdr:colOff>409432</xdr:colOff>
      <xdr:row>8</xdr:row>
      <xdr:rowOff>113732</xdr:rowOff>
    </xdr:from>
    <xdr:to>
      <xdr:col>12</xdr:col>
      <xdr:colOff>181969</xdr:colOff>
      <xdr:row>20</xdr:row>
      <xdr:rowOff>90986</xdr:rowOff>
    </xdr:to>
    <xdr:graphicFrame macro="">
      <xdr:nvGraphicFramePr>
        <xdr:cNvPr id="33" name="Chart 32">
          <a:extLst>
            <a:ext uri="{FF2B5EF4-FFF2-40B4-BE49-F238E27FC236}">
              <a16:creationId xmlns:a16="http://schemas.microsoft.com/office/drawing/2014/main" id="{9FAB0202-CBBF-4052-B5AB-3F4CF1F92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284330</xdr:colOff>
      <xdr:row>20</xdr:row>
      <xdr:rowOff>34121</xdr:rowOff>
    </xdr:from>
    <xdr:to>
      <xdr:col>12</xdr:col>
      <xdr:colOff>454927</xdr:colOff>
      <xdr:row>21</xdr:row>
      <xdr:rowOff>79612</xdr:rowOff>
    </xdr:to>
    <xdr:sp macro="" textlink="">
      <xdr:nvSpPr>
        <xdr:cNvPr id="34" name="TextBox 4">
          <a:extLst>
            <a:ext uri="{FF2B5EF4-FFF2-40B4-BE49-F238E27FC236}">
              <a16:creationId xmlns:a16="http://schemas.microsoft.com/office/drawing/2014/main" id="{C24DCDFE-C44C-234C-1856-4B31E784A800}"/>
            </a:ext>
          </a:extLst>
        </xdr:cNvPr>
        <xdr:cNvSpPr txBox="1"/>
      </xdr:nvSpPr>
      <xdr:spPr>
        <a:xfrm>
          <a:off x="5197524" y="3673524"/>
          <a:ext cx="2627194" cy="227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100" b="1" baseline="0">
              <a:solidFill>
                <a:schemeClr val="accent1">
                  <a:lumMod val="50000"/>
                </a:schemeClr>
              </a:solidFill>
            </a:rPr>
            <a:t>No of Patients by Departmental level</a:t>
          </a:r>
        </a:p>
        <a:p>
          <a:endParaRPr lang="en-IN" sz="1100" b="1">
            <a:solidFill>
              <a:schemeClr val="accent1">
                <a:lumMod val="50000"/>
              </a:schemeClr>
            </a:solidFill>
          </a:endParaRPr>
        </a:p>
      </xdr:txBody>
    </xdr:sp>
    <xdr:clientData/>
  </xdr:twoCellAnchor>
  <xdr:twoCellAnchor editAs="oneCell">
    <xdr:from>
      <xdr:col>5</xdr:col>
      <xdr:colOff>387684</xdr:colOff>
      <xdr:row>0</xdr:row>
      <xdr:rowOff>80211</xdr:rowOff>
    </xdr:from>
    <xdr:to>
      <xdr:col>7</xdr:col>
      <xdr:colOff>200527</xdr:colOff>
      <xdr:row>2</xdr:row>
      <xdr:rowOff>113632</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31AFAD6C-7CE4-4216-A265-614EAB3E02E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29000" y="80211"/>
              <a:ext cx="1029369" cy="394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0.16577</cdr:x>
      <cdr:y>0.87696</cdr:y>
    </cdr:from>
    <cdr:to>
      <cdr:x>0.99574</cdr:x>
      <cdr:y>1</cdr:y>
    </cdr:to>
    <cdr:sp macro="" textlink="">
      <cdr:nvSpPr>
        <cdr:cNvPr id="2" name="TextBox 4">
          <a:extLst xmlns:a="http://schemas.openxmlformats.org/drawingml/2006/main">
            <a:ext uri="{FF2B5EF4-FFF2-40B4-BE49-F238E27FC236}">
              <a16:creationId xmlns:a16="http://schemas.microsoft.com/office/drawing/2014/main" id="{9C9BCFC4-5C63-EAF1-8222-912F1651195E}"/>
            </a:ext>
          </a:extLst>
        </cdr:cNvPr>
        <cdr:cNvSpPr txBox="1"/>
      </cdr:nvSpPr>
      <cdr:spPr>
        <a:xfrm xmlns:a="http://schemas.openxmlformats.org/drawingml/2006/main">
          <a:off x="258049" y="1258248"/>
          <a:ext cx="1291981" cy="1765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solidFill>
                <a:schemeClr val="accent1">
                  <a:lumMod val="50000"/>
                </a:schemeClr>
              </a:solidFill>
            </a:rPr>
            <a:t>Patient</a:t>
          </a:r>
          <a:r>
            <a:rPr lang="en-IN" sz="1100" b="1" baseline="0">
              <a:solidFill>
                <a:schemeClr val="accent1">
                  <a:lumMod val="50000"/>
                </a:schemeClr>
              </a:solidFill>
            </a:rPr>
            <a:t> Attd Status</a:t>
          </a:r>
        </a:p>
        <a:p xmlns:a="http://schemas.openxmlformats.org/drawingml/2006/main">
          <a:endParaRPr lang="en-IN" sz="1100" b="1">
            <a:solidFill>
              <a:schemeClr val="accent1">
                <a:lumMod val="50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347869</xdr:colOff>
      <xdr:row>28</xdr:row>
      <xdr:rowOff>66261</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C0002AA1-ACEC-4EB9-92D3-A105BED09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29</xdr:row>
      <xdr:rowOff>99220</xdr:rowOff>
    </xdr:from>
    <xdr:to>
      <xdr:col>14</xdr:col>
      <xdr:colOff>297656</xdr:colOff>
      <xdr:row>32</xdr:row>
      <xdr:rowOff>95251</xdr:rowOff>
    </xdr:to>
    <xdr:sp macro="" textlink="">
      <xdr:nvSpPr>
        <xdr:cNvPr id="5121" name="Text Box 1">
          <a:extLst>
            <a:ext uri="{FF2B5EF4-FFF2-40B4-BE49-F238E27FC236}">
              <a16:creationId xmlns:a16="http://schemas.microsoft.com/office/drawing/2014/main" id="{D1660BA7-C954-8C19-6325-5EABD84ADE6A}"/>
            </a:ext>
          </a:extLst>
        </xdr:cNvPr>
        <xdr:cNvSpPr txBox="1">
          <a:spLocks noChangeArrowheads="1"/>
        </xdr:cNvSpPr>
      </xdr:nvSpPr>
      <xdr:spPr bwMode="auto">
        <a:xfrm>
          <a:off x="238125" y="5278439"/>
          <a:ext cx="8560594" cy="531812"/>
        </a:xfrm>
        <a:prstGeom prst="rect">
          <a:avLst/>
        </a:prstGeom>
        <a:solidFill>
          <a:srgbClr val="FEE6EF"/>
        </a:solidFill>
        <a:ln w="9525">
          <a:noFill/>
          <a:miter lim="800000"/>
          <a:headEnd/>
          <a:tailEnd/>
        </a:ln>
      </xdr:spPr>
      <xdr:txBody>
        <a:bodyPr vertOverflow="clip" wrap="square" lIns="18288" tIns="18288" rIns="0" bIns="0" anchor="t" upright="1"/>
        <a:lstStyle/>
        <a:p>
          <a:pPr algn="l" rtl="0">
            <a:defRPr sz="1000"/>
          </a:pPr>
          <a:r>
            <a:rPr lang="en-IN" sz="1600" b="1" i="0" u="none" strike="noStrike" baseline="0">
              <a:solidFill>
                <a:srgbClr val="000000"/>
              </a:solidFill>
              <a:latin typeface="Calibri"/>
              <a:ea typeface="Calibri"/>
              <a:cs typeface="Calibri"/>
            </a:rPr>
            <a:t>Use an area chart to track daily changes and highlight days with longer wait times that might need improvement</a:t>
          </a:r>
        </a:p>
      </xdr:txBody>
    </xdr:sp>
    <xdr:clientData/>
  </xdr:twoCellAnchor>
  <xdr:twoCellAnchor editAs="oneCell">
    <xdr:from>
      <xdr:col>0</xdr:col>
      <xdr:colOff>83344</xdr:colOff>
      <xdr:row>0</xdr:row>
      <xdr:rowOff>95250</xdr:rowOff>
    </xdr:from>
    <xdr:to>
      <xdr:col>1</xdr:col>
      <xdr:colOff>11907</xdr:colOff>
      <xdr:row>3</xdr:row>
      <xdr:rowOff>95251</xdr:rowOff>
    </xdr:to>
    <xdr:pic>
      <xdr:nvPicPr>
        <xdr:cNvPr id="5" name="Graphic 4" descr="Home with solid fill">
          <a:hlinkClick xmlns:r="http://schemas.openxmlformats.org/officeDocument/2006/relationships" r:id="rId3"/>
          <a:extLst>
            <a:ext uri="{FF2B5EF4-FFF2-40B4-BE49-F238E27FC236}">
              <a16:creationId xmlns:a16="http://schemas.microsoft.com/office/drawing/2014/main" id="{045260A6-0F73-CA4C-E1CD-5A303A66EC4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3344" y="95250"/>
          <a:ext cx="535782" cy="5357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411480</xdr:colOff>
      <xdr:row>17</xdr:row>
      <xdr:rowOff>76200</xdr:rowOff>
    </xdr:to>
    <xdr:graphicFrame macro="">
      <xdr:nvGraphicFramePr>
        <xdr:cNvPr id="2" name="Chart 1">
          <a:extLst>
            <a:ext uri="{FF2B5EF4-FFF2-40B4-BE49-F238E27FC236}">
              <a16:creationId xmlns:a16="http://schemas.microsoft.com/office/drawing/2014/main" id="{1039DE08-E690-4DA7-A680-F6FA85BA1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38746</xdr:colOff>
      <xdr:row>17</xdr:row>
      <xdr:rowOff>167898</xdr:rowOff>
    </xdr:from>
    <xdr:to>
      <xdr:col>8</xdr:col>
      <xdr:colOff>452033</xdr:colOff>
      <xdr:row>20</xdr:row>
      <xdr:rowOff>103322</xdr:rowOff>
    </xdr:to>
    <xdr:sp macro="" textlink="">
      <xdr:nvSpPr>
        <xdr:cNvPr id="3" name="TextBox 2">
          <a:extLst>
            <a:ext uri="{FF2B5EF4-FFF2-40B4-BE49-F238E27FC236}">
              <a16:creationId xmlns:a16="http://schemas.microsoft.com/office/drawing/2014/main" id="{27262F1A-174E-D816-FF27-330C2CB7B3DF}"/>
            </a:ext>
          </a:extLst>
        </xdr:cNvPr>
        <xdr:cNvSpPr txBox="1"/>
      </xdr:nvSpPr>
      <xdr:spPr>
        <a:xfrm>
          <a:off x="38746" y="3241729"/>
          <a:ext cx="5269423" cy="477864"/>
        </a:xfrm>
        <a:prstGeom prst="rect">
          <a:avLst/>
        </a:prstGeom>
        <a:solidFill>
          <a:srgbClr val="FEE6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Show a daily trend with an area chart to spot patterns like busy days or seasonal trends.</a:t>
          </a:r>
          <a:endParaRPr lang="en-IN" sz="11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0.07205</cdr:x>
      <cdr:y>0.11962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5E7D5D7-98C7-EA6B-604B-B55B116D213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81000" cy="3810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18</xdr:row>
      <xdr:rowOff>12914</xdr:rowOff>
    </xdr:from>
    <xdr:to>
      <xdr:col>9</xdr:col>
      <xdr:colOff>400372</xdr:colOff>
      <xdr:row>21</xdr:row>
      <xdr:rowOff>0</xdr:rowOff>
    </xdr:to>
    <xdr:sp macro="" textlink="">
      <xdr:nvSpPr>
        <xdr:cNvPr id="3" name="TextBox 2">
          <a:extLst>
            <a:ext uri="{FF2B5EF4-FFF2-40B4-BE49-F238E27FC236}">
              <a16:creationId xmlns:a16="http://schemas.microsoft.com/office/drawing/2014/main" id="{FE988BEF-24E3-D54E-3905-11ABEA5F2A11}"/>
            </a:ext>
          </a:extLst>
        </xdr:cNvPr>
        <xdr:cNvSpPr txBox="1"/>
      </xdr:nvSpPr>
      <xdr:spPr>
        <a:xfrm>
          <a:off x="0" y="3267558"/>
          <a:ext cx="5863525" cy="529527"/>
        </a:xfrm>
        <a:prstGeom prst="rect">
          <a:avLst/>
        </a:prstGeom>
        <a:solidFill>
          <a:srgbClr val="FCE4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effectLst/>
            </a:rPr>
            <a:t>Use an area sparkline to show trends, spot drops in satisfaction, and link them to busy times or challenges</a:t>
          </a:r>
          <a:endParaRPr lang="en-IN" b="1">
            <a:effectLst/>
          </a:endParaRPr>
        </a:p>
        <a:p>
          <a:endParaRPr lang="en-IN" sz="1100"/>
        </a:p>
      </xdr:txBody>
    </xdr:sp>
    <xdr:clientData/>
  </xdr:twoCellAnchor>
  <xdr:twoCellAnchor>
    <xdr:from>
      <xdr:col>0</xdr:col>
      <xdr:colOff>0</xdr:colOff>
      <xdr:row>0</xdr:row>
      <xdr:rowOff>0</xdr:rowOff>
    </xdr:from>
    <xdr:to>
      <xdr:col>9</xdr:col>
      <xdr:colOff>526915</xdr:colOff>
      <xdr:row>17</xdr:row>
      <xdr:rowOff>121595</xdr:rowOff>
    </xdr:to>
    <xdr:graphicFrame macro="">
      <xdr:nvGraphicFramePr>
        <xdr:cNvPr id="4" name="Chart 3">
          <a:extLst>
            <a:ext uri="{FF2B5EF4-FFF2-40B4-BE49-F238E27FC236}">
              <a16:creationId xmlns:a16="http://schemas.microsoft.com/office/drawing/2014/main" id="{9D3C4055-8BD7-4294-B9DF-945BDBDE8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0.0206</cdr:x>
      <cdr:y>0.02532</cdr:y>
    </cdr:from>
    <cdr:to>
      <cdr:x>0.11951</cdr:x>
      <cdr:y>0.2076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6D1813D-3A18-8F38-D46A-B9C9FDA6B7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1596" y="81064"/>
          <a:ext cx="583662" cy="58366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36226849" createdVersion="5" refreshedVersion="8" minRefreshableVersion="3" recordCount="0" supportSubquery="1" supportAdvancedDrill="1" xr:uid="{DC5EC034-5CD8-47A4-A297-CB69AFA7FB0F}">
  <cacheSource type="external" connectionId="3"/>
  <cacheFields count="4">
    <cacheField name="[Measures].[Distinct Count of Patient Id]" caption="Distinct Count of Patient Id" numFmtId="0" hierarchy="24" level="32767"/>
    <cacheField name="[Calender].[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37731481" createdVersion="5" refreshedVersion="8" minRefreshableVersion="3" recordCount="0" supportSubquery="1" supportAdvancedDrill="1" xr:uid="{944301A2-6592-40F7-8826-14FCE0B2ADE6}">
  <cacheSource type="external" connectionId="3"/>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39930552" createdVersion="5" refreshedVersion="8" minRefreshableVersion="3" recordCount="0" supportSubquery="1" supportAdvancedDrill="1" xr:uid="{F4E0AB45-025E-4199-93BE-29E785F4886A}">
  <cacheSource type="external" connectionId="3"/>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0624998" createdVersion="5" refreshedVersion="8" minRefreshableVersion="3" recordCount="0" supportSubquery="1" supportAdvancedDrill="1" xr:uid="{AEA3179B-E5D1-4D7A-AA64-B4E53EA394A3}">
  <cacheSource type="external" connectionId="3"/>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1203706" createdVersion="5" refreshedVersion="8" minRefreshableVersion="3" recordCount="0" supportSubquery="1" supportAdvancedDrill="1" xr:uid="{690DA427-2355-4660-BA5A-47773E4323E2}">
  <cacheSource type="external" connectionId="3"/>
  <cacheFields count="4">
    <cacheField name="[Calender].[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1782407" createdVersion="5" refreshedVersion="8" minRefreshableVersion="3" recordCount="0" supportSubquery="1" supportAdvancedDrill="1" xr:uid="{D231CB61-0EB3-4CFE-8177-FAC767643D35}">
  <cacheSource type="external" connectionId="3"/>
  <cacheFields count="4">
    <cacheField name="[Calender].[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3634262" createdVersion="5" refreshedVersion="8" minRefreshableVersion="3" recordCount="0" supportSubquery="1" supportAdvancedDrill="1" xr:uid="{9E62EF7D-FB90-418A-8FE5-157BA9A9028F}">
  <cacheSource type="external" connectionId="3"/>
  <cacheFields count="5">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6180556" createdVersion="5" refreshedVersion="8" minRefreshableVersion="3" recordCount="0" supportSubquery="1" supportAdvancedDrill="1" xr:uid="{A0347B0E-EA30-4355-BF70-D394FF61B26A}">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2"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4872685" createdVersion="5" refreshedVersion="8" minRefreshableVersion="3" recordCount="0" supportSubquery="1" supportAdvancedDrill="1" xr:uid="{0AE3F85A-3362-4AA5-AA94-4822707F55EF}">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Waittime atted].[Patient Waittime atted]" caption="Patient Waittime atted" numFmtId="0" hierarchy="17" level="1">
      <sharedItems count="2">
        <s v="Delay"/>
        <s v="On time"/>
      </sharedItems>
    </cacheField>
    <cacheField name="[Measures].[Count of Merged]" caption="Count of Merged" numFmtId="0" hierarchy="34"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5138889" createdVersion="5" refreshedVersion="8" minRefreshableVersion="3" recordCount="0" supportSubquery="1" supportAdvancedDrill="1" xr:uid="{673A6D0D-1703-49C6-A158-7BCFFFEBDC35}">
  <cacheSource type="external" connectionId="3"/>
  <cacheFields count="4">
    <cacheField name="[Calender].[Date (Month)].[Date (Month)]" caption="Date (Month)" numFmtId="0" hierarchy="1" level="1">
      <sharedItems containsSemiMixedTypes="0" containsNonDate="0" containsString="0"/>
    </cacheField>
    <cacheField name="[Measures].[Count of Patient Gender]" caption="Count of Patient Gender" numFmtId="0" hierarchy="35" level="32767"/>
    <cacheField name="[Hospital Emergency Room Data].[Patient Gender].[Patient Gender]" caption="Patient Gender" numFmtId="0" hierarchy="9" level="1">
      <sharedItems count="2">
        <s v="Female"/>
        <s v="Male"/>
      </sharedItems>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53935184" createdVersion="5" refreshedVersion="8" minRefreshableVersion="3" recordCount="0" supportSubquery="1" supportAdvancedDrill="1" xr:uid="{3FADEE83-A771-4116-B7BD-1ACC4D5F33E8}">
  <cacheSource type="external" connectionId="3"/>
  <cacheFields count="4">
    <cacheField name="[Calender].[Date (Month)].[Date (Month)]" caption="Date (Month)" numFmtId="0" hierarchy="1" level="1">
      <sharedItems containsSemiMixedTypes="0" containsNonDate="0" containsString="0"/>
    </cacheField>
    <cacheField name="[Measures].[Count of Department Referral]" caption="Count of Department Referral" numFmtId="0" hierarchy="36"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201.67595636574" createdVersion="5" refreshedVersion="8" minRefreshableVersion="3" recordCount="0" supportSubquery="1" supportAdvancedDrill="1" xr:uid="{E203A677-361D-4443-A5CF-765953740614}">
  <cacheSource type="external" connectionId="3"/>
  <cacheFields count="2">
    <cacheField name="[Calender].[Date (Month)].[Date (Month)]" caption="Date (Month)" numFmtId="0" hierarchy="1" level="1">
      <sharedItems containsSemiMixedTypes="0" containsNonDate="0" containsString="0"/>
    </cacheField>
    <cacheField name="[Calender].[Date (Year)].[Date (Year)]" caption="Date (Year)" numFmtId="0" hierarchy="3" level="1">
      <sharedItems count="1">
        <s v="2023"/>
      </sharedItems>
    </cacheField>
  </cacheFields>
  <cacheHierarchies count="37">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199.938664814814" createdVersion="3" refreshedVersion="8" minRefreshableVersion="3" recordCount="0" supportSubquery="1" supportAdvancedDrill="1" xr:uid="{EFD7296C-9AD5-4441-AC46-8FBECA6D0849}">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5538666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ina sodhi" refreshedDate="46199.945387384258" createdVersion="3" refreshedVersion="8" minRefreshableVersion="3" recordCount="0" supportSubquery="1" supportAdvancedDrill="1" xr:uid="{FC024FBA-1CAC-4FFF-9FF6-E4CB0FC2DF8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time atted]" caption="Patient Waittime atted" attribute="1" defaultMemberUniqueName="[Hospital Emergency Room Data].[Patient Waittime atted].[All]" allUniqueName="[Hospital Emergency Room Data].[Patient Waittime atted].[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atted]" caption="Count of Patient Waittime att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3955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C732E-FE2D-4683-9170-88F496B87E84}" name="PivotTable3" cacheId="33" applyNumberFormats="0" applyBorderFormats="0" applyFontFormats="0" applyPatternFormats="0" applyAlignmentFormats="0" applyWidthHeightFormats="1" dataCaption="Values" tag="199eb07c-f63a-4643-b981-02b1bc6b0106"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FD048-DAF3-4973-A22F-657194CB6235}" name="PivotTable6" cacheId="39" applyNumberFormats="0" applyBorderFormats="0" applyFontFormats="0" applyPatternFormats="0" applyAlignmentFormats="0" applyWidthHeightFormats="1" dataCaption="Values" tag="83547bff-9b7e-4960-ac1d-b6f6a5e360ec" updatedVersion="8" minRefreshableVersion="3" subtotalHiddenItems="1" itemPrintTitles="1" createdVersion="5" indent="0" outline="1" outlineData="1" multipleFieldFilters="0" chartFormat="36">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2">
      <pivotArea collapsedLevelsAreSubtotals="1" fieldPosition="0">
        <references count="1">
          <reference field="0" count="0"/>
        </references>
      </pivotArea>
    </format>
  </formats>
  <chartFormats count="3">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85EF0-2772-4E60-8151-8BEC8D0785D7}" name="PivotTable8" cacheId="45" applyNumberFormats="0" applyBorderFormats="0" applyFontFormats="0" applyPatternFormats="0" applyAlignmentFormats="0" applyWidthHeightFormats="1" dataCaption="Values" tag="46e0130d-a010-461b-99f5-c730e4a7cd96" updatedVersion="8" minRefreshableVersion="3" subtotalHiddenItems="1" itemPrintTitles="1" createdVersion="5" indent="0" outline="1" outlineData="1" multipleFieldFilters="0" chartFormat="7">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numFmtId="1"/>
  </dataFields>
  <formats count="1">
    <format dxfId="13">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4909A-81AE-4270-86AD-493DA071D141}" name="PivotTable1" cacheId="27" applyNumberFormats="0" applyBorderFormats="0" applyFontFormats="0" applyPatternFormats="0" applyAlignmentFormats="0" applyWidthHeightFormats="1" dataCaption="Values" tag="cf225a9b-12ac-4388-a31b-f221e5b2eef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9FDAFE-7547-43B0-807A-D88779E5031A}" name="PivotTable2" cacheId="30" applyNumberFormats="0" applyBorderFormats="0" applyFontFormats="0" applyPatternFormats="0" applyAlignmentFormats="0" applyWidthHeightFormats="1" dataCaption="Values" tag="8a305c7e-e745-4d6f-ad5d-0f270351c6c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E0424E-79F2-4846-9526-22A7CB992829}" name="PivotTable5" cacheId="36" applyNumberFormats="0" applyBorderFormats="0" applyFontFormats="0" applyPatternFormats="0" applyAlignmentFormats="0" applyWidthHeightFormats="1" dataCaption="Values" tag="f43977ba-e4bd-4937-9170-7b15fc54ec3b" updatedVersion="8" minRefreshableVersion="3" subtotalHiddenItems="1" itemPrintTitles="1" createdVersion="5" indent="0" outline="1" outlineData="1" multipleFieldFilters="0" chartFormat="30">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5">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9D0914-717B-4D10-95C6-91E5E9315F86}" name="PivotTable4" cacheId="24" applyNumberFormats="0" applyBorderFormats="0" applyFontFormats="0" applyPatternFormats="0" applyAlignmentFormats="0" applyWidthHeightFormats="1" dataCaption="Values" tag="030a67fa-a7ba-4c9b-8458-ae4c876c03a9" updatedVersion="8" minRefreshableVersion="3" subtotalHiddenItems="1" itemPrintTitles="1" createdVersion="5" indent="0" outline="1" outlineData="1" multipleFieldFilters="0" chartFormat="85">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18A7B-1AB5-4BC9-9ABD-BF91DE63A99B}" name="PivotTable10" cacheId="51" applyNumberFormats="0" applyBorderFormats="0" applyFontFormats="0" applyPatternFormats="0" applyAlignmentFormats="0" applyWidthHeightFormats="1" dataCaption="Values" tag="f7a536ed-6a8a-4de4-bb72-0db36b40b374" updatedVersion="8" minRefreshableVersion="3" subtotalHiddenItems="1" itemPrintTitles="1" createdVersion="5" indent="0" outline="1" outlineData="1" multipleFieldFilters="0" chartFormat="21">
  <location ref="A71: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6">
      <pivotArea outline="0" collapsedLevelsAreSubtotals="1" fieldPosition="0"/>
    </format>
  </formats>
  <chartFormats count="4">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 chart="19" format="7" series="1">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BEA560-BA20-4874-9F18-313BCF727A58}" name="PivotTable7" cacheId="42" applyNumberFormats="0" applyBorderFormats="0" applyFontFormats="0" applyPatternFormats="0" applyAlignmentFormats="0" applyWidthHeightFormats="1" dataCaption="Values" tag="1798d34e-469e-4b32-82e6-fe500185f099"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8">
      <pivotArea outline="0" collapsedLevelsAreSubtotals="1" fieldPosition="0"/>
    </format>
    <format dxfId="17">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0A1051-9C76-4336-A163-4EFC9E3A4117}" name="PivotTable9" cacheId="48" applyNumberFormats="0" applyBorderFormats="0" applyFontFormats="0" applyPatternFormats="0" applyAlignmentFormats="0" applyWidthHeightFormats="1" dataCaption="Values" tag="a63928eb-7f74-4097-9b96-b144ae312f36" updatedVersion="8" minRefreshableVersion="3" subtotalHiddenItems="1" itemPrintTitles="1" createdVersion="5" indent="0" outline="1" outlineData="1" multipleFieldFilters="0" chartFormat="16">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Merged" fld="2" subtotal="count" baseField="0" baseItem="0"/>
  </dataFields>
  <formats count="1">
    <format dxfId="19">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337E7-24B8-4B9B-9AB4-20B803AC774C}" name="PivotTable12" cacheId="57" applyNumberFormats="0" applyBorderFormats="0" applyFontFormats="0" applyPatternFormats="0" applyAlignmentFormats="0" applyWidthHeightFormats="1" dataCaption="Values" tag="116f14d5-a9cf-4a34-b9fa-17d6a051483a" updatedVersion="8" minRefreshableVersion="3" subtotalHiddenItems="1" itemPrintTitles="1" createdVersion="5" indent="0" outline="1" outlineData="1" multipleFieldFilters="0" chartFormat="26">
  <location ref="A91:A9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0">
      <pivotArea outline="0" collapsedLevelsAreSubtotals="1" fieldPosition="0"/>
    </format>
  </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C390DB-3DA4-4861-85D2-CF95351E93C3}" name="PivotTable11" cacheId="54" applyNumberFormats="0" applyBorderFormats="0" applyFontFormats="0" applyPatternFormats="0" applyAlignmentFormats="0" applyWidthHeightFormats="1" dataCaption="Values" tag="4bd77d22-8eb0-4a2b-90e3-60329c1c1302" updatedVersion="8" minRefreshableVersion="3" subtotalHiddenItems="1" itemPrintTitles="1" createdVersion="5" indent="0" outline="1" outlineData="1" multipleFieldFilters="0" chartFormat="26">
  <location ref="A78:B8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6"/>
    </i>
    <i>
      <x v="1"/>
    </i>
    <i>
      <x/>
    </i>
    <i>
      <x v="5"/>
    </i>
    <i>
      <x v="2"/>
    </i>
    <i>
      <x v="4"/>
    </i>
    <i t="grand">
      <x/>
    </i>
  </rowItems>
  <colItems count="1">
    <i/>
  </colItems>
  <dataFields count="1">
    <dataField name="Count of Department Referral" fld="1" subtotal="count" baseField="0" baseItem="0"/>
  </dataFields>
  <formats count="1">
    <format dxfId="21">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Apr]"/>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1F84A25-F74B-471A-8426-96EB5C9FBE84}" sourceName="[Calender].[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455386666">
      <levels count="2">
        <level uniqueName="[Calender].[Date (Month)].[(All)]" sourceCaption="(All)" count="0"/>
        <level uniqueName="[Calender].[Date (Month)].[Date (Month)]" sourceCaption="Date (Month)" count="12">
          <ranges>
            <range startItem="0">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i n="[Calender].[Date (Month)].&amp;[Jan]" c="Jan" nd="1"/>
              <i n="[Calender].[Date (Month)].&amp;[Feb]" c="Feb" nd="1"/>
              <i n="[Calender].[Date (Month)].&amp;[Mar]" c="Mar" nd="1"/>
            </range>
          </ranges>
        </level>
      </levels>
      <selections count="1">
        <selection n="[Calender].[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01D4AA-D876-4735-94C3-C368A31528E8}" sourceName="[Calender].[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13955392">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F6ED74D-F527-477D-9E21-D9C93D240C09}" cache="Slicer_Date__Month" caption="Date (Month)" showCaption="0" level="1" style="Mystyleeee" rowHeight="144000"/>
  <slicer name="Date (Year)" xr10:uid="{CEC8317E-8137-4592-BA97-7314974927E0}" cache="Slicer_Date__Year" caption="Date (Year)" columnCount="2" showCaption="0" level="1" style="Mystyleee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7117-1A21-4705-A940-5875610260A3}">
  <dimension ref="A3:M93"/>
  <sheetViews>
    <sheetView topLeftCell="A66" zoomScale="53" zoomScaleNormal="53" workbookViewId="0">
      <selection activeCell="A92" sqref="A92:A93"/>
    </sheetView>
  </sheetViews>
  <sheetFormatPr defaultRowHeight="14.4" x14ac:dyDescent="0.3"/>
  <cols>
    <col min="1" max="1" width="24.109375" customWidth="1"/>
    <col min="2" max="2" width="9.5546875" customWidth="1"/>
    <col min="3" max="3" width="13.33203125" customWidth="1"/>
    <col min="4" max="4" width="13.88671875" bestFit="1" customWidth="1"/>
    <col min="5" max="5" width="23.88671875" bestFit="1" customWidth="1"/>
    <col min="8" max="8" width="16.5546875" bestFit="1" customWidth="1"/>
    <col min="9" max="9" width="28.33203125" bestFit="1" customWidth="1"/>
    <col min="12" max="12" width="17.109375" bestFit="1" customWidth="1"/>
    <col min="13" max="13" width="29.44140625" bestFit="1" customWidth="1"/>
  </cols>
  <sheetData>
    <row r="3" spans="1:13" x14ac:dyDescent="0.3">
      <c r="A3" t="s">
        <v>1</v>
      </c>
      <c r="D3" t="s">
        <v>7</v>
      </c>
      <c r="H3" t="s">
        <v>8</v>
      </c>
    </row>
    <row r="4" spans="1:13" x14ac:dyDescent="0.3">
      <c r="A4" t="s">
        <v>0</v>
      </c>
      <c r="D4" s="2" t="s">
        <v>5</v>
      </c>
      <c r="E4" t="s">
        <v>0</v>
      </c>
      <c r="H4" s="2" t="s">
        <v>5</v>
      </c>
      <c r="I4" t="s">
        <v>2</v>
      </c>
      <c r="L4" s="2" t="s">
        <v>5</v>
      </c>
      <c r="M4" t="s">
        <v>3</v>
      </c>
    </row>
    <row r="5" spans="1:13" x14ac:dyDescent="0.3">
      <c r="A5" s="12">
        <v>479</v>
      </c>
      <c r="D5" s="3" t="s">
        <v>45</v>
      </c>
      <c r="E5" s="12">
        <v>19</v>
      </c>
      <c r="H5" s="3" t="s">
        <v>45</v>
      </c>
      <c r="I5" s="1">
        <v>40.473684210526315</v>
      </c>
      <c r="L5" s="3" t="s">
        <v>45</v>
      </c>
      <c r="M5" s="1">
        <v>3.8</v>
      </c>
    </row>
    <row r="6" spans="1:13" x14ac:dyDescent="0.3">
      <c r="D6" s="3" t="s">
        <v>46</v>
      </c>
      <c r="E6" s="12">
        <v>13</v>
      </c>
      <c r="H6" s="3" t="s">
        <v>46</v>
      </c>
      <c r="I6" s="1">
        <v>29.46153846153846</v>
      </c>
      <c r="L6" s="3" t="s">
        <v>46</v>
      </c>
      <c r="M6" s="1">
        <v>7.75</v>
      </c>
    </row>
    <row r="7" spans="1:13" x14ac:dyDescent="0.3">
      <c r="D7" s="3" t="s">
        <v>47</v>
      </c>
      <c r="E7" s="12">
        <v>14</v>
      </c>
      <c r="H7" s="3" t="s">
        <v>47</v>
      </c>
      <c r="I7" s="1">
        <v>33.928571428571431</v>
      </c>
      <c r="L7" s="3" t="s">
        <v>47</v>
      </c>
      <c r="M7" s="1">
        <v>4.5999999999999996</v>
      </c>
    </row>
    <row r="8" spans="1:13" x14ac:dyDescent="0.3">
      <c r="A8" t="s">
        <v>2</v>
      </c>
      <c r="D8" s="3" t="s">
        <v>48</v>
      </c>
      <c r="E8" s="12">
        <v>9</v>
      </c>
      <c r="H8" s="3" t="s">
        <v>48</v>
      </c>
      <c r="I8" s="1">
        <v>32.222222222222221</v>
      </c>
      <c r="L8" s="3" t="s">
        <v>48</v>
      </c>
      <c r="M8" s="1">
        <v>6</v>
      </c>
    </row>
    <row r="9" spans="1:13" x14ac:dyDescent="0.3">
      <c r="A9" s="1">
        <v>34.90187891440501</v>
      </c>
      <c r="D9" s="3" t="s">
        <v>49</v>
      </c>
      <c r="E9" s="12">
        <v>19</v>
      </c>
      <c r="H9" s="3" t="s">
        <v>49</v>
      </c>
      <c r="I9" s="1">
        <v>35.736842105263158</v>
      </c>
      <c r="L9" s="3" t="s">
        <v>49</v>
      </c>
      <c r="M9" s="1">
        <v>5.5714285714285712</v>
      </c>
    </row>
    <row r="10" spans="1:13" x14ac:dyDescent="0.3">
      <c r="D10" s="3" t="s">
        <v>50</v>
      </c>
      <c r="E10" s="12">
        <v>14</v>
      </c>
      <c r="H10" s="3" t="s">
        <v>50</v>
      </c>
      <c r="I10" s="1">
        <v>30.142857142857142</v>
      </c>
      <c r="L10" s="3" t="s">
        <v>50</v>
      </c>
      <c r="M10" s="1">
        <v>2</v>
      </c>
    </row>
    <row r="11" spans="1:13" x14ac:dyDescent="0.3">
      <c r="D11" s="3" t="s">
        <v>51</v>
      </c>
      <c r="E11" s="12">
        <v>11</v>
      </c>
      <c r="H11" s="3" t="s">
        <v>51</v>
      </c>
      <c r="I11" s="1">
        <v>33.81818181818182</v>
      </c>
      <c r="L11" s="3" t="s">
        <v>51</v>
      </c>
      <c r="M11" s="1">
        <v>8</v>
      </c>
    </row>
    <row r="12" spans="1:13" x14ac:dyDescent="0.3">
      <c r="A12" t="s">
        <v>3</v>
      </c>
      <c r="D12" s="3" t="s">
        <v>52</v>
      </c>
      <c r="E12" s="12">
        <v>22</v>
      </c>
      <c r="H12" s="3" t="s">
        <v>52</v>
      </c>
      <c r="I12" s="1">
        <v>31.681818181818183</v>
      </c>
      <c r="L12" s="3" t="s">
        <v>52</v>
      </c>
      <c r="M12" s="1">
        <v>8</v>
      </c>
    </row>
    <row r="13" spans="1:13" x14ac:dyDescent="0.3">
      <c r="A13" s="1">
        <v>5.3034482758620687</v>
      </c>
      <c r="D13" s="3" t="s">
        <v>53</v>
      </c>
      <c r="E13" s="12">
        <v>12</v>
      </c>
      <c r="H13" s="3" t="s">
        <v>53</v>
      </c>
      <c r="I13" s="1">
        <v>36.416666666666664</v>
      </c>
      <c r="L13" s="3" t="s">
        <v>53</v>
      </c>
      <c r="M13" s="1">
        <v>5.25</v>
      </c>
    </row>
    <row r="14" spans="1:13" x14ac:dyDescent="0.3">
      <c r="D14" s="3" t="s">
        <v>54</v>
      </c>
      <c r="E14" s="12">
        <v>13</v>
      </c>
      <c r="H14" s="3" t="s">
        <v>54</v>
      </c>
      <c r="I14" s="1">
        <v>33.692307692307693</v>
      </c>
      <c r="L14" s="3" t="s">
        <v>54</v>
      </c>
      <c r="M14" s="1">
        <v>6</v>
      </c>
    </row>
    <row r="15" spans="1:13" x14ac:dyDescent="0.3">
      <c r="D15" s="3" t="s">
        <v>55</v>
      </c>
      <c r="E15" s="12">
        <v>17</v>
      </c>
      <c r="H15" s="3" t="s">
        <v>55</v>
      </c>
      <c r="I15" s="1">
        <v>39.117647058823529</v>
      </c>
      <c r="L15" s="3" t="s">
        <v>55</v>
      </c>
      <c r="M15" s="1">
        <v>6.5</v>
      </c>
    </row>
    <row r="16" spans="1:13" x14ac:dyDescent="0.3">
      <c r="D16" s="3" t="s">
        <v>56</v>
      </c>
      <c r="E16" s="12">
        <v>30</v>
      </c>
      <c r="H16" s="3" t="s">
        <v>56</v>
      </c>
      <c r="I16" s="1">
        <v>36.93333333333333</v>
      </c>
      <c r="L16" s="3" t="s">
        <v>56</v>
      </c>
      <c r="M16" s="1">
        <v>5.75</v>
      </c>
    </row>
    <row r="17" spans="4:13" x14ac:dyDescent="0.3">
      <c r="D17" s="3" t="s">
        <v>57</v>
      </c>
      <c r="E17" s="12">
        <v>13</v>
      </c>
      <c r="H17" s="3" t="s">
        <v>57</v>
      </c>
      <c r="I17" s="1">
        <v>29.923076923076923</v>
      </c>
      <c r="L17" s="3" t="s">
        <v>57</v>
      </c>
      <c r="M17" s="1">
        <v>5.6</v>
      </c>
    </row>
    <row r="18" spans="4:13" x14ac:dyDescent="0.3">
      <c r="D18" s="3" t="s">
        <v>58</v>
      </c>
      <c r="E18" s="12">
        <v>21</v>
      </c>
      <c r="H18" s="3" t="s">
        <v>58</v>
      </c>
      <c r="I18" s="1">
        <v>31.666666666666668</v>
      </c>
      <c r="L18" s="3" t="s">
        <v>58</v>
      </c>
      <c r="M18" s="1">
        <v>6.5</v>
      </c>
    </row>
    <row r="19" spans="4:13" x14ac:dyDescent="0.3">
      <c r="D19" s="3" t="s">
        <v>59</v>
      </c>
      <c r="E19" s="12">
        <v>12</v>
      </c>
      <c r="H19" s="3" t="s">
        <v>59</v>
      </c>
      <c r="I19" s="1">
        <v>40.25</v>
      </c>
      <c r="L19" s="3" t="s">
        <v>59</v>
      </c>
      <c r="M19" s="1">
        <v>5.666666666666667</v>
      </c>
    </row>
    <row r="20" spans="4:13" x14ac:dyDescent="0.3">
      <c r="D20" s="3" t="s">
        <v>60</v>
      </c>
      <c r="E20" s="12">
        <v>17</v>
      </c>
      <c r="H20" s="3" t="s">
        <v>60</v>
      </c>
      <c r="I20" s="1">
        <v>30</v>
      </c>
      <c r="L20" s="3" t="s">
        <v>60</v>
      </c>
      <c r="M20" s="1">
        <v>5.666666666666667</v>
      </c>
    </row>
    <row r="21" spans="4:13" x14ac:dyDescent="0.3">
      <c r="D21" s="3" t="s">
        <v>61</v>
      </c>
      <c r="E21" s="12">
        <v>16</v>
      </c>
      <c r="H21" s="3" t="s">
        <v>61</v>
      </c>
      <c r="I21" s="1">
        <v>35</v>
      </c>
      <c r="L21" s="3" t="s">
        <v>61</v>
      </c>
      <c r="M21" s="1">
        <v>5.8</v>
      </c>
    </row>
    <row r="22" spans="4:13" x14ac:dyDescent="0.3">
      <c r="D22" s="3" t="s">
        <v>62</v>
      </c>
      <c r="E22" s="12">
        <v>20</v>
      </c>
      <c r="H22" s="3" t="s">
        <v>62</v>
      </c>
      <c r="I22" s="1">
        <v>41.85</v>
      </c>
      <c r="L22" s="3" t="s">
        <v>62</v>
      </c>
      <c r="M22" s="1">
        <v>4.666666666666667</v>
      </c>
    </row>
    <row r="23" spans="4:13" x14ac:dyDescent="0.3">
      <c r="D23" s="3" t="s">
        <v>63</v>
      </c>
      <c r="E23" s="12">
        <v>18</v>
      </c>
      <c r="H23" s="3" t="s">
        <v>63</v>
      </c>
      <c r="I23" s="1">
        <v>33.277777777777779</v>
      </c>
      <c r="L23" s="3" t="s">
        <v>63</v>
      </c>
      <c r="M23" s="1">
        <v>4.833333333333333</v>
      </c>
    </row>
    <row r="24" spans="4:13" x14ac:dyDescent="0.3">
      <c r="D24" s="3" t="s">
        <v>64</v>
      </c>
      <c r="E24" s="12">
        <v>16</v>
      </c>
      <c r="H24" s="3" t="s">
        <v>64</v>
      </c>
      <c r="I24" s="1">
        <v>32.9375</v>
      </c>
      <c r="L24" s="3" t="s">
        <v>64</v>
      </c>
      <c r="M24" s="1">
        <v>2.3333333333333335</v>
      </c>
    </row>
    <row r="25" spans="4:13" x14ac:dyDescent="0.3">
      <c r="D25" s="3" t="s">
        <v>65</v>
      </c>
      <c r="E25" s="12">
        <v>15</v>
      </c>
      <c r="H25" s="3" t="s">
        <v>65</v>
      </c>
      <c r="I25" s="1">
        <v>33.266666666666666</v>
      </c>
      <c r="L25" s="3" t="s">
        <v>65</v>
      </c>
      <c r="M25" s="1">
        <v>4.5</v>
      </c>
    </row>
    <row r="26" spans="4:13" x14ac:dyDescent="0.3">
      <c r="D26" s="3" t="s">
        <v>66</v>
      </c>
      <c r="E26" s="12">
        <v>18</v>
      </c>
      <c r="H26" s="3" t="s">
        <v>66</v>
      </c>
      <c r="I26" s="1">
        <v>34.444444444444443</v>
      </c>
      <c r="L26" s="3" t="s">
        <v>66</v>
      </c>
      <c r="M26" s="1">
        <v>6.666666666666667</v>
      </c>
    </row>
    <row r="27" spans="4:13" x14ac:dyDescent="0.3">
      <c r="D27" s="3" t="s">
        <v>67</v>
      </c>
      <c r="E27" s="12">
        <v>12</v>
      </c>
      <c r="H27" s="3" t="s">
        <v>67</v>
      </c>
      <c r="I27" s="1">
        <v>43.416666666666664</v>
      </c>
      <c r="L27" s="3" t="s">
        <v>67</v>
      </c>
      <c r="M27" s="1">
        <v>7.5</v>
      </c>
    </row>
    <row r="28" spans="4:13" x14ac:dyDescent="0.3">
      <c r="D28" s="3" t="s">
        <v>68</v>
      </c>
      <c r="E28" s="12">
        <v>14</v>
      </c>
      <c r="H28" s="3" t="s">
        <v>68</v>
      </c>
      <c r="I28" s="1">
        <v>36.357142857142854</v>
      </c>
      <c r="L28" s="3" t="s">
        <v>68</v>
      </c>
      <c r="M28" s="1">
        <v>5.2857142857142856</v>
      </c>
    </row>
    <row r="29" spans="4:13" x14ac:dyDescent="0.3">
      <c r="D29" s="3" t="s">
        <v>69</v>
      </c>
      <c r="E29" s="12">
        <v>18</v>
      </c>
      <c r="H29" s="3" t="s">
        <v>69</v>
      </c>
      <c r="I29" s="1">
        <v>40.611111111111114</v>
      </c>
      <c r="L29" s="3" t="s">
        <v>69</v>
      </c>
      <c r="M29" s="1">
        <v>2.875</v>
      </c>
    </row>
    <row r="30" spans="4:13" x14ac:dyDescent="0.3">
      <c r="D30" s="3" t="s">
        <v>70</v>
      </c>
      <c r="E30" s="12">
        <v>16</v>
      </c>
      <c r="H30" s="3" t="s">
        <v>70</v>
      </c>
      <c r="I30" s="1">
        <v>29.875</v>
      </c>
      <c r="L30" s="3" t="s">
        <v>70</v>
      </c>
      <c r="M30" s="1">
        <v>6.25</v>
      </c>
    </row>
    <row r="31" spans="4:13" x14ac:dyDescent="0.3">
      <c r="D31" s="3" t="s">
        <v>71</v>
      </c>
      <c r="E31" s="12">
        <v>16</v>
      </c>
      <c r="H31" s="3" t="s">
        <v>71</v>
      </c>
      <c r="I31" s="1">
        <v>33.5</v>
      </c>
      <c r="L31" s="3" t="s">
        <v>71</v>
      </c>
      <c r="M31" s="1">
        <v>6.125</v>
      </c>
    </row>
    <row r="32" spans="4:13" x14ac:dyDescent="0.3">
      <c r="D32" s="3" t="s">
        <v>72</v>
      </c>
      <c r="E32" s="12">
        <v>16</v>
      </c>
      <c r="H32" s="3" t="s">
        <v>72</v>
      </c>
      <c r="I32" s="1">
        <v>32.5625</v>
      </c>
      <c r="L32" s="3" t="s">
        <v>72</v>
      </c>
      <c r="M32" s="1">
        <v>5.75</v>
      </c>
    </row>
    <row r="33" spans="1:13" x14ac:dyDescent="0.3">
      <c r="D33" s="3" t="s">
        <v>73</v>
      </c>
      <c r="E33" s="12">
        <v>14</v>
      </c>
      <c r="H33" s="3" t="s">
        <v>73</v>
      </c>
      <c r="I33" s="1">
        <v>38.571428571428569</v>
      </c>
      <c r="L33" s="3" t="s">
        <v>73</v>
      </c>
      <c r="M33" s="1">
        <v>5.375</v>
      </c>
    </row>
    <row r="34" spans="1:13" x14ac:dyDescent="0.3">
      <c r="D34" s="3" t="s">
        <v>74</v>
      </c>
      <c r="E34" s="12">
        <v>14</v>
      </c>
      <c r="H34" s="3" t="s">
        <v>74</v>
      </c>
      <c r="I34" s="1">
        <v>32.714285714285715</v>
      </c>
      <c r="L34" s="3" t="s">
        <v>74</v>
      </c>
      <c r="M34" s="1">
        <v>5.6</v>
      </c>
    </row>
    <row r="35" spans="1:13" x14ac:dyDescent="0.3">
      <c r="D35" s="3" t="s">
        <v>6</v>
      </c>
      <c r="E35" s="12">
        <v>479</v>
      </c>
      <c r="H35" s="3" t="s">
        <v>6</v>
      </c>
      <c r="I35" s="12">
        <v>34.90187891440501</v>
      </c>
      <c r="L35" s="3" t="s">
        <v>6</v>
      </c>
      <c r="M35" s="12">
        <v>5.3034482758620687</v>
      </c>
    </row>
    <row r="39" spans="1:13" x14ac:dyDescent="0.3">
      <c r="A39" s="2" t="s">
        <v>5</v>
      </c>
      <c r="B39" t="s">
        <v>11</v>
      </c>
      <c r="C39" t="s">
        <v>12</v>
      </c>
    </row>
    <row r="40" spans="1:13" x14ac:dyDescent="0.3">
      <c r="A40" s="3" t="s">
        <v>9</v>
      </c>
      <c r="B40" s="1">
        <v>237</v>
      </c>
      <c r="C40" s="6">
        <v>0.49478079331941544</v>
      </c>
    </row>
    <row r="41" spans="1:13" x14ac:dyDescent="0.3">
      <c r="A41" s="3" t="s">
        <v>10</v>
      </c>
      <c r="B41" s="1">
        <v>242</v>
      </c>
      <c r="C41" s="6">
        <v>0.50521920668058451</v>
      </c>
    </row>
    <row r="42" spans="1:13" x14ac:dyDescent="0.3">
      <c r="A42" s="3" t="s">
        <v>6</v>
      </c>
      <c r="B42" s="1">
        <v>479</v>
      </c>
      <c r="C42" s="6">
        <v>1</v>
      </c>
    </row>
    <row r="47" spans="1:13" x14ac:dyDescent="0.3">
      <c r="A47" s="9" t="s">
        <v>13</v>
      </c>
      <c r="B47" s="9" t="s">
        <v>16</v>
      </c>
      <c r="C47" s="9" t="s">
        <v>14</v>
      </c>
      <c r="D47" s="9" t="s">
        <v>15</v>
      </c>
    </row>
    <row r="48" spans="1:13" x14ac:dyDescent="0.3">
      <c r="A48" s="7" t="str">
        <f>A41</f>
        <v>Not Admitted</v>
      </c>
      <c r="B48" s="7">
        <f>B41</f>
        <v>242</v>
      </c>
      <c r="C48" s="8">
        <f>C41</f>
        <v>0.50521920668058451</v>
      </c>
      <c r="D48" s="7"/>
    </row>
    <row r="49" spans="1:4" x14ac:dyDescent="0.3">
      <c r="A49" s="7" t="str">
        <f>A40</f>
        <v>Admitted</v>
      </c>
      <c r="B49" s="7">
        <f>B40</f>
        <v>237</v>
      </c>
      <c r="C49" s="8">
        <f>C40</f>
        <v>0.49478079331941544</v>
      </c>
      <c r="D49" s="7"/>
    </row>
    <row r="51" spans="1:4" x14ac:dyDescent="0.3">
      <c r="A51" t="s">
        <v>26</v>
      </c>
    </row>
    <row r="52" spans="1:4" x14ac:dyDescent="0.3">
      <c r="A52" s="2" t="s">
        <v>5</v>
      </c>
      <c r="B52" t="s">
        <v>25</v>
      </c>
    </row>
    <row r="53" spans="1:4" x14ac:dyDescent="0.3">
      <c r="A53" s="3" t="s">
        <v>17</v>
      </c>
      <c r="B53" s="11">
        <v>70</v>
      </c>
    </row>
    <row r="54" spans="1:4" x14ac:dyDescent="0.3">
      <c r="A54" s="3" t="s">
        <v>18</v>
      </c>
      <c r="B54" s="11">
        <v>67</v>
      </c>
    </row>
    <row r="55" spans="1:4" x14ac:dyDescent="0.3">
      <c r="A55" s="3" t="s">
        <v>19</v>
      </c>
      <c r="B55" s="11">
        <v>64</v>
      </c>
    </row>
    <row r="56" spans="1:4" x14ac:dyDescent="0.3">
      <c r="A56" s="3" t="s">
        <v>20</v>
      </c>
      <c r="B56" s="11">
        <v>60</v>
      </c>
    </row>
    <row r="57" spans="1:4" x14ac:dyDescent="0.3">
      <c r="A57" s="3" t="s">
        <v>21</v>
      </c>
      <c r="B57" s="11">
        <v>42</v>
      </c>
    </row>
    <row r="58" spans="1:4" x14ac:dyDescent="0.3">
      <c r="A58" s="3" t="s">
        <v>22</v>
      </c>
      <c r="B58" s="11">
        <v>53</v>
      </c>
    </row>
    <row r="59" spans="1:4" x14ac:dyDescent="0.3">
      <c r="A59" s="3" t="s">
        <v>23</v>
      </c>
      <c r="B59" s="11">
        <v>71</v>
      </c>
    </row>
    <row r="60" spans="1:4" x14ac:dyDescent="0.3">
      <c r="A60" s="3" t="s">
        <v>24</v>
      </c>
      <c r="B60" s="11">
        <v>52</v>
      </c>
    </row>
    <row r="61" spans="1:4" x14ac:dyDescent="0.3">
      <c r="A61" s="3" t="s">
        <v>6</v>
      </c>
      <c r="B61" s="11">
        <v>479</v>
      </c>
    </row>
    <row r="64" spans="1:4" x14ac:dyDescent="0.3">
      <c r="A64" s="3" t="s">
        <v>30</v>
      </c>
    </row>
    <row r="65" spans="1:2" x14ac:dyDescent="0.3">
      <c r="A65" s="2" t="s">
        <v>5</v>
      </c>
      <c r="B65" t="s">
        <v>29</v>
      </c>
    </row>
    <row r="66" spans="1:2" x14ac:dyDescent="0.3">
      <c r="A66" s="3" t="s">
        <v>28</v>
      </c>
      <c r="B66" s="11">
        <v>273</v>
      </c>
    </row>
    <row r="67" spans="1:2" x14ac:dyDescent="0.3">
      <c r="A67" s="3" t="s">
        <v>27</v>
      </c>
      <c r="B67" s="11">
        <v>206</v>
      </c>
    </row>
    <row r="68" spans="1:2" x14ac:dyDescent="0.3">
      <c r="A68" s="3" t="s">
        <v>6</v>
      </c>
      <c r="B68" s="11">
        <v>479</v>
      </c>
    </row>
    <row r="70" spans="1:2" x14ac:dyDescent="0.3">
      <c r="A70" s="3" t="s">
        <v>31</v>
      </c>
    </row>
    <row r="71" spans="1:2" x14ac:dyDescent="0.3">
      <c r="A71" s="2" t="s">
        <v>5</v>
      </c>
      <c r="B71" t="s">
        <v>32</v>
      </c>
    </row>
    <row r="72" spans="1:2" x14ac:dyDescent="0.3">
      <c r="A72" s="3" t="s">
        <v>33</v>
      </c>
      <c r="B72" s="11">
        <v>235</v>
      </c>
    </row>
    <row r="73" spans="1:2" x14ac:dyDescent="0.3">
      <c r="A73" s="3" t="s">
        <v>34</v>
      </c>
      <c r="B73" s="11">
        <v>244</v>
      </c>
    </row>
    <row r="74" spans="1:2" x14ac:dyDescent="0.3">
      <c r="A74" s="3" t="s">
        <v>6</v>
      </c>
      <c r="B74" s="11">
        <v>479</v>
      </c>
    </row>
    <row r="78" spans="1:2" x14ac:dyDescent="0.3">
      <c r="A78" s="2" t="s">
        <v>5</v>
      </c>
      <c r="B78" t="s">
        <v>35</v>
      </c>
    </row>
    <row r="79" spans="1:2" x14ac:dyDescent="0.3">
      <c r="A79" s="3" t="s">
        <v>43</v>
      </c>
      <c r="B79" s="11">
        <v>4</v>
      </c>
    </row>
    <row r="80" spans="1:2" x14ac:dyDescent="0.3">
      <c r="A80" s="3" t="s">
        <v>39</v>
      </c>
      <c r="B80" s="11">
        <v>11</v>
      </c>
    </row>
    <row r="81" spans="1:2" x14ac:dyDescent="0.3">
      <c r="A81" s="3" t="s">
        <v>42</v>
      </c>
      <c r="B81" s="11">
        <v>11</v>
      </c>
    </row>
    <row r="82" spans="1:2" x14ac:dyDescent="0.3">
      <c r="A82" s="3" t="s">
        <v>37</v>
      </c>
      <c r="B82" s="11">
        <v>12</v>
      </c>
    </row>
    <row r="83" spans="1:2" x14ac:dyDescent="0.3">
      <c r="A83" s="3" t="s">
        <v>36</v>
      </c>
      <c r="B83" s="11">
        <v>18</v>
      </c>
    </row>
    <row r="84" spans="1:2" x14ac:dyDescent="0.3">
      <c r="A84" s="3" t="s">
        <v>41</v>
      </c>
      <c r="B84" s="11">
        <v>45</v>
      </c>
    </row>
    <row r="85" spans="1:2" x14ac:dyDescent="0.3">
      <c r="A85" s="3" t="s">
        <v>38</v>
      </c>
      <c r="B85" s="11">
        <v>115</v>
      </c>
    </row>
    <row r="86" spans="1:2" x14ac:dyDescent="0.3">
      <c r="A86" s="3" t="s">
        <v>40</v>
      </c>
      <c r="B86" s="11">
        <v>263</v>
      </c>
    </row>
    <row r="87" spans="1:2" x14ac:dyDescent="0.3">
      <c r="A87" s="3" t="s">
        <v>6</v>
      </c>
      <c r="B87" s="11">
        <v>479</v>
      </c>
    </row>
    <row r="91" spans="1:2" x14ac:dyDescent="0.3">
      <c r="A91" s="2" t="s">
        <v>5</v>
      </c>
    </row>
    <row r="92" spans="1:2" x14ac:dyDescent="0.3">
      <c r="A92" s="3" t="s">
        <v>44</v>
      </c>
    </row>
    <row r="93" spans="1:2" x14ac:dyDescent="0.3">
      <c r="A93" s="3" t="s">
        <v>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7FF8-032C-437E-BFA4-29CD0A8068C5}">
  <dimension ref="A1:M31"/>
  <sheetViews>
    <sheetView tabSelected="1" topLeftCell="A2" zoomScale="114" zoomScaleNormal="67" workbookViewId="0">
      <selection activeCell="D1" sqref="D1"/>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row r="19" spans="1:13" x14ac:dyDescent="0.3">
      <c r="A19" s="4"/>
      <c r="B19" s="4"/>
      <c r="C19" s="4"/>
      <c r="D19" s="4"/>
      <c r="E19" s="4"/>
      <c r="F19" s="4"/>
      <c r="G19" s="4"/>
      <c r="H19" s="4"/>
      <c r="I19" s="4"/>
      <c r="J19" s="4"/>
      <c r="K19" s="4"/>
      <c r="L19" s="4"/>
      <c r="M19" s="4"/>
    </row>
    <row r="20" spans="1:13" x14ac:dyDescent="0.3">
      <c r="A20" s="4"/>
      <c r="B20" s="4"/>
      <c r="C20" s="4"/>
      <c r="D20" s="4"/>
      <c r="E20" s="4"/>
      <c r="F20" s="4"/>
      <c r="G20" s="4"/>
      <c r="H20" s="4"/>
      <c r="I20" s="4"/>
      <c r="J20" s="4"/>
      <c r="K20" s="4"/>
      <c r="L20" s="4"/>
      <c r="M20" s="4"/>
    </row>
    <row r="21" spans="1:13" x14ac:dyDescent="0.3">
      <c r="A21" s="4"/>
      <c r="B21" s="4"/>
      <c r="C21" s="4"/>
      <c r="D21" s="4"/>
      <c r="E21" s="4"/>
      <c r="F21" s="4"/>
      <c r="G21" s="4"/>
      <c r="H21" s="4"/>
      <c r="I21" s="4"/>
      <c r="J21" s="4"/>
      <c r="K21" s="4"/>
      <c r="L21" s="4"/>
      <c r="M21" s="4"/>
    </row>
    <row r="22" spans="1:13" x14ac:dyDescent="0.3">
      <c r="A22" s="4"/>
      <c r="B22" s="4"/>
      <c r="C22" s="4"/>
      <c r="D22" s="4"/>
      <c r="E22" s="4"/>
      <c r="F22" s="4"/>
      <c r="G22" s="4"/>
      <c r="H22" s="4"/>
      <c r="I22" s="4"/>
      <c r="J22" s="4"/>
      <c r="K22" s="4"/>
      <c r="L22" s="4"/>
      <c r="M22" s="4"/>
    </row>
    <row r="23" spans="1:13" x14ac:dyDescent="0.3">
      <c r="G23" t="s">
        <v>4</v>
      </c>
    </row>
    <row r="24" spans="1:13" x14ac:dyDescent="0.3">
      <c r="E24" s="10"/>
    </row>
    <row r="31" spans="1:13" x14ac:dyDescent="0.3">
      <c r="K31" t="s">
        <v>4</v>
      </c>
    </row>
  </sheetData>
  <pageMargins left="0.7" right="0.7" top="0.75" bottom="0.75" header="0.3" footer="0.3"/>
  <pageSetup paperSize="9" orientation="portrait" horizontalDpi="4294967293" verticalDpi="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84A35-309B-430E-B31D-0004F4898A50}">
  <dimension ref="A1:X35"/>
  <sheetViews>
    <sheetView topLeftCell="A19" zoomScale="64"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73B5-0841-4F2B-BF54-C3587D97E3AF}">
  <dimension ref="A1:J21"/>
  <sheetViews>
    <sheetView zoomScale="59" workbookViewId="0">
      <selection activeCell="L16" sqref="L16"/>
    </sheetView>
  </sheetViews>
  <sheetFormatPr defaultRowHeight="14.4" x14ac:dyDescent="0.3"/>
  <sheetData>
    <row r="1" spans="1:10" x14ac:dyDescent="0.3">
      <c r="A1" s="5"/>
      <c r="B1" s="5"/>
      <c r="C1" s="5"/>
      <c r="D1" s="5"/>
      <c r="E1" s="5"/>
      <c r="F1" s="5"/>
      <c r="G1" s="5"/>
      <c r="H1" s="5"/>
      <c r="I1" s="5"/>
      <c r="J1" s="5"/>
    </row>
    <row r="2" spans="1:10" x14ac:dyDescent="0.3">
      <c r="A2" s="5"/>
      <c r="B2" s="5"/>
      <c r="C2" s="5"/>
      <c r="D2" s="5"/>
      <c r="E2" s="5"/>
      <c r="F2" s="5"/>
      <c r="G2" s="5"/>
      <c r="H2" s="5"/>
      <c r="I2" s="5"/>
      <c r="J2" s="5"/>
    </row>
    <row r="3" spans="1:10" x14ac:dyDescent="0.3">
      <c r="A3" s="5"/>
      <c r="B3" s="5"/>
      <c r="C3" s="5"/>
      <c r="D3" s="5"/>
      <c r="E3" s="5"/>
      <c r="F3" s="5"/>
      <c r="G3" s="5"/>
      <c r="H3" s="5"/>
      <c r="I3" s="5"/>
      <c r="J3" s="5"/>
    </row>
    <row r="4" spans="1:10" x14ac:dyDescent="0.3">
      <c r="A4" s="5"/>
      <c r="B4" s="5"/>
      <c r="C4" s="5"/>
      <c r="D4" s="5"/>
      <c r="E4" s="5"/>
      <c r="F4" s="5"/>
      <c r="G4" s="5"/>
      <c r="H4" s="5"/>
      <c r="I4" s="5"/>
      <c r="J4" s="5"/>
    </row>
    <row r="5" spans="1:10" x14ac:dyDescent="0.3">
      <c r="A5" s="5"/>
      <c r="B5" s="5"/>
      <c r="C5" s="5"/>
      <c r="D5" s="5"/>
      <c r="E5" s="5"/>
      <c r="F5" s="5"/>
      <c r="G5" s="5"/>
      <c r="H5" s="5"/>
      <c r="I5" s="5"/>
      <c r="J5" s="5"/>
    </row>
    <row r="6" spans="1:10" x14ac:dyDescent="0.3">
      <c r="A6" s="5"/>
      <c r="B6" s="5"/>
      <c r="C6" s="5"/>
      <c r="D6" s="5"/>
      <c r="E6" s="5"/>
      <c r="F6" s="5"/>
      <c r="G6" s="5"/>
      <c r="H6" s="5"/>
      <c r="I6" s="5"/>
      <c r="J6" s="5"/>
    </row>
    <row r="7" spans="1:10" x14ac:dyDescent="0.3">
      <c r="A7" s="5"/>
      <c r="B7" s="5"/>
      <c r="C7" s="5"/>
      <c r="D7" s="5"/>
      <c r="E7" s="5"/>
      <c r="F7" s="5"/>
      <c r="G7" s="5"/>
      <c r="H7" s="5"/>
      <c r="I7" s="5"/>
      <c r="J7" s="5"/>
    </row>
    <row r="8" spans="1:10" x14ac:dyDescent="0.3">
      <c r="A8" s="5"/>
      <c r="B8" s="5"/>
      <c r="C8" s="5"/>
      <c r="D8" s="5"/>
      <c r="E8" s="5"/>
      <c r="F8" s="5"/>
      <c r="G8" s="5"/>
      <c r="H8" s="5"/>
      <c r="I8" s="5"/>
      <c r="J8" s="5"/>
    </row>
    <row r="9" spans="1:10" x14ac:dyDescent="0.3">
      <c r="A9" s="5"/>
      <c r="B9" s="5"/>
      <c r="C9" s="5"/>
      <c r="D9" s="5"/>
      <c r="E9" s="5"/>
      <c r="F9" s="5"/>
      <c r="G9" s="5"/>
      <c r="H9" s="5"/>
      <c r="I9" s="5"/>
      <c r="J9" s="5"/>
    </row>
    <row r="10" spans="1:10" x14ac:dyDescent="0.3">
      <c r="A10" s="5"/>
      <c r="B10" s="5"/>
      <c r="C10" s="5"/>
      <c r="D10" s="5"/>
      <c r="E10" s="5"/>
      <c r="F10" s="5"/>
      <c r="G10" s="5"/>
      <c r="H10" s="5"/>
      <c r="I10" s="5"/>
      <c r="J10" s="5"/>
    </row>
    <row r="11" spans="1:10" x14ac:dyDescent="0.3">
      <c r="A11" s="5"/>
      <c r="B11" s="5"/>
      <c r="C11" s="5"/>
      <c r="D11" s="5"/>
      <c r="E11" s="5"/>
      <c r="F11" s="5"/>
      <c r="G11" s="5"/>
      <c r="H11" s="5"/>
      <c r="I11" s="5"/>
      <c r="J11" s="5"/>
    </row>
    <row r="12" spans="1:10" x14ac:dyDescent="0.3">
      <c r="A12" s="5"/>
      <c r="B12" s="5"/>
      <c r="C12" s="5"/>
      <c r="D12" s="5"/>
      <c r="E12" s="5"/>
      <c r="F12" s="5"/>
      <c r="G12" s="5"/>
      <c r="H12" s="5"/>
      <c r="I12" s="5"/>
      <c r="J12" s="5"/>
    </row>
    <row r="13" spans="1:10" x14ac:dyDescent="0.3">
      <c r="A13" s="5"/>
      <c r="B13" s="5"/>
      <c r="C13" s="5"/>
      <c r="D13" s="5"/>
      <c r="E13" s="5"/>
      <c r="F13" s="5"/>
      <c r="G13" s="5"/>
      <c r="H13" s="5"/>
      <c r="I13" s="5"/>
      <c r="J13" s="5"/>
    </row>
    <row r="14" spans="1:10" x14ac:dyDescent="0.3">
      <c r="A14" s="5"/>
      <c r="B14" s="5"/>
      <c r="C14" s="5"/>
      <c r="D14" s="5"/>
      <c r="E14" s="5"/>
      <c r="F14" s="5"/>
      <c r="G14" s="5"/>
      <c r="H14" s="5"/>
      <c r="I14" s="5"/>
      <c r="J14" s="5"/>
    </row>
    <row r="15" spans="1:10" x14ac:dyDescent="0.3">
      <c r="A15" s="5"/>
      <c r="B15" s="5"/>
      <c r="C15" s="5"/>
      <c r="D15" s="5"/>
      <c r="E15" s="5"/>
      <c r="F15" s="5"/>
      <c r="G15" s="5"/>
      <c r="H15" s="5"/>
      <c r="I15" s="5"/>
      <c r="J15" s="5"/>
    </row>
    <row r="16" spans="1:10" x14ac:dyDescent="0.3">
      <c r="A16" s="5"/>
      <c r="B16" s="5"/>
      <c r="C16" s="5"/>
      <c r="D16" s="5"/>
      <c r="E16" s="5"/>
      <c r="F16" s="5"/>
      <c r="G16" s="5"/>
      <c r="H16" s="5"/>
      <c r="I16" s="5"/>
      <c r="J16" s="5"/>
    </row>
    <row r="17" spans="1:10" x14ac:dyDescent="0.3">
      <c r="A17" s="5"/>
      <c r="B17" s="5"/>
      <c r="C17" s="5"/>
      <c r="D17" s="5"/>
      <c r="E17" s="5"/>
      <c r="F17" s="5"/>
      <c r="G17" s="5"/>
      <c r="H17" s="5"/>
      <c r="I17" s="5"/>
      <c r="J17" s="5"/>
    </row>
    <row r="18" spans="1:10" x14ac:dyDescent="0.3">
      <c r="A18" s="5"/>
      <c r="B18" s="5"/>
      <c r="C18" s="5"/>
      <c r="D18" s="5"/>
      <c r="E18" s="5"/>
      <c r="F18" s="5"/>
      <c r="G18" s="5"/>
      <c r="H18" s="5"/>
      <c r="I18" s="5"/>
      <c r="J18" s="5"/>
    </row>
    <row r="19" spans="1:10" x14ac:dyDescent="0.3">
      <c r="A19" s="5"/>
      <c r="B19" s="5"/>
      <c r="C19" s="5"/>
      <c r="D19" s="5"/>
      <c r="E19" s="5"/>
      <c r="F19" s="5"/>
      <c r="G19" s="5"/>
      <c r="H19" s="5"/>
      <c r="I19" s="5"/>
      <c r="J19" s="5"/>
    </row>
    <row r="20" spans="1:10" x14ac:dyDescent="0.3">
      <c r="A20" s="5"/>
      <c r="B20" s="5"/>
      <c r="C20" s="5"/>
      <c r="D20" s="5"/>
      <c r="E20" s="5"/>
      <c r="F20" s="5"/>
      <c r="G20" s="5"/>
      <c r="H20" s="5"/>
      <c r="I20" s="5"/>
      <c r="J20" s="5"/>
    </row>
    <row r="21" spans="1:10" x14ac:dyDescent="0.3">
      <c r="A21" s="5"/>
      <c r="B21" s="5"/>
      <c r="C21" s="5"/>
      <c r="D21" s="5"/>
      <c r="E21" s="5"/>
      <c r="F21" s="5"/>
      <c r="G21" s="5"/>
      <c r="H21" s="5"/>
      <c r="I21" s="5"/>
      <c r="J2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F5A2-CAB5-409C-B51A-14846A1E8B63}">
  <dimension ref="A1:J21"/>
  <sheetViews>
    <sheetView zoomScale="94" zoomScaleNormal="94" workbookViewId="0"/>
  </sheetViews>
  <sheetFormatPr defaultRowHeight="14.4" x14ac:dyDescent="0.3"/>
  <sheetData>
    <row r="1" spans="1:10" x14ac:dyDescent="0.3">
      <c r="A1" s="5"/>
      <c r="B1" s="5"/>
      <c r="C1" s="5"/>
      <c r="D1" s="5"/>
      <c r="E1" s="5"/>
      <c r="F1" s="5"/>
      <c r="G1" s="5"/>
      <c r="H1" s="5"/>
      <c r="I1" s="5"/>
      <c r="J1" s="5"/>
    </row>
    <row r="2" spans="1:10" x14ac:dyDescent="0.3">
      <c r="A2" s="5"/>
      <c r="B2" s="5"/>
      <c r="C2" s="5"/>
      <c r="D2" s="5"/>
      <c r="E2" s="5"/>
      <c r="F2" s="5"/>
      <c r="G2" s="5"/>
      <c r="H2" s="5"/>
      <c r="I2" s="5"/>
      <c r="J2" s="5"/>
    </row>
    <row r="3" spans="1:10" x14ac:dyDescent="0.3">
      <c r="A3" s="5"/>
      <c r="B3" s="5"/>
      <c r="C3" s="5"/>
      <c r="D3" s="5"/>
      <c r="E3" s="5"/>
      <c r="F3" s="5"/>
      <c r="G3" s="5"/>
      <c r="H3" s="5"/>
      <c r="I3" s="5"/>
      <c r="J3" s="5"/>
    </row>
    <row r="4" spans="1:10" x14ac:dyDescent="0.3">
      <c r="A4" s="5"/>
      <c r="B4" s="5"/>
      <c r="C4" s="5"/>
      <c r="D4" s="5"/>
      <c r="E4" s="5"/>
      <c r="F4" s="5"/>
      <c r="G4" s="5"/>
      <c r="H4" s="5"/>
      <c r="I4" s="5"/>
      <c r="J4" s="5"/>
    </row>
    <row r="5" spans="1:10" x14ac:dyDescent="0.3">
      <c r="A5" s="5"/>
      <c r="B5" s="5"/>
      <c r="C5" s="5"/>
      <c r="D5" s="5"/>
      <c r="E5" s="5"/>
      <c r="F5" s="5"/>
      <c r="G5" s="5"/>
      <c r="H5" s="5"/>
      <c r="I5" s="5"/>
      <c r="J5" s="5"/>
    </row>
    <row r="6" spans="1:10" x14ac:dyDescent="0.3">
      <c r="A6" s="5"/>
      <c r="B6" s="5"/>
      <c r="C6" s="5"/>
      <c r="D6" s="5"/>
      <c r="E6" s="5"/>
      <c r="F6" s="5"/>
      <c r="G6" s="5"/>
      <c r="H6" s="5"/>
      <c r="I6" s="5"/>
      <c r="J6" s="5"/>
    </row>
    <row r="7" spans="1:10" x14ac:dyDescent="0.3">
      <c r="A7" s="5"/>
      <c r="B7" s="5"/>
      <c r="C7" s="5"/>
      <c r="D7" s="5"/>
      <c r="E7" s="5"/>
      <c r="F7" s="5"/>
      <c r="G7" s="5"/>
      <c r="H7" s="5"/>
      <c r="I7" s="5"/>
      <c r="J7" s="5"/>
    </row>
    <row r="8" spans="1:10" x14ac:dyDescent="0.3">
      <c r="A8" s="5"/>
      <c r="B8" s="5"/>
      <c r="C8" s="5"/>
      <c r="D8" s="5"/>
      <c r="E8" s="5"/>
      <c r="F8" s="5"/>
      <c r="G8" s="5"/>
      <c r="H8" s="5"/>
      <c r="I8" s="5"/>
      <c r="J8" s="5"/>
    </row>
    <row r="9" spans="1:10" x14ac:dyDescent="0.3">
      <c r="A9" s="5"/>
      <c r="B9" s="5"/>
      <c r="C9" s="5"/>
      <c r="D9" s="5"/>
      <c r="E9" s="5"/>
      <c r="F9" s="5"/>
      <c r="G9" s="5"/>
      <c r="H9" s="5"/>
      <c r="I9" s="5"/>
      <c r="J9" s="5"/>
    </row>
    <row r="10" spans="1:10" x14ac:dyDescent="0.3">
      <c r="A10" s="5"/>
      <c r="B10" s="5"/>
      <c r="C10" s="5"/>
      <c r="D10" s="5"/>
      <c r="E10" s="5"/>
      <c r="F10" s="5"/>
      <c r="G10" s="5"/>
      <c r="H10" s="5"/>
      <c r="I10" s="5"/>
      <c r="J10" s="5"/>
    </row>
    <row r="11" spans="1:10" x14ac:dyDescent="0.3">
      <c r="A11" s="5"/>
      <c r="B11" s="5"/>
      <c r="C11" s="5"/>
      <c r="D11" s="5"/>
      <c r="E11" s="5"/>
      <c r="F11" s="5"/>
      <c r="G11" s="5"/>
      <c r="H11" s="5"/>
      <c r="I11" s="5"/>
      <c r="J11" s="5"/>
    </row>
    <row r="12" spans="1:10" x14ac:dyDescent="0.3">
      <c r="A12" s="5"/>
      <c r="B12" s="5"/>
      <c r="C12" s="5"/>
      <c r="D12" s="5"/>
      <c r="E12" s="5"/>
      <c r="F12" s="5"/>
      <c r="G12" s="5"/>
      <c r="H12" s="5"/>
      <c r="I12" s="5"/>
      <c r="J12" s="5"/>
    </row>
    <row r="13" spans="1:10" x14ac:dyDescent="0.3">
      <c r="A13" s="5"/>
      <c r="B13" s="5"/>
      <c r="C13" s="5"/>
      <c r="D13" s="5"/>
      <c r="E13" s="5"/>
      <c r="F13" s="5"/>
      <c r="G13" s="5"/>
      <c r="H13" s="5"/>
      <c r="I13" s="5"/>
      <c r="J13" s="5"/>
    </row>
    <row r="14" spans="1:10" x14ac:dyDescent="0.3">
      <c r="A14" s="5"/>
      <c r="B14" s="5"/>
      <c r="C14" s="5"/>
      <c r="D14" s="5"/>
      <c r="E14" s="5"/>
      <c r="F14" s="5"/>
      <c r="G14" s="5"/>
      <c r="H14" s="5"/>
      <c r="I14" s="5"/>
      <c r="J14" s="5"/>
    </row>
    <row r="15" spans="1:10" x14ac:dyDescent="0.3">
      <c r="A15" s="5"/>
      <c r="B15" s="5"/>
      <c r="C15" s="5"/>
      <c r="D15" s="5"/>
      <c r="E15" s="5"/>
      <c r="F15" s="5"/>
      <c r="G15" s="5"/>
      <c r="H15" s="5"/>
      <c r="I15" s="5"/>
      <c r="J15" s="5"/>
    </row>
    <row r="16" spans="1:10" x14ac:dyDescent="0.3">
      <c r="A16" s="5"/>
      <c r="B16" s="5"/>
      <c r="C16" s="5"/>
      <c r="D16" s="5"/>
      <c r="E16" s="5"/>
      <c r="F16" s="5"/>
      <c r="G16" s="5"/>
      <c r="H16" s="5"/>
      <c r="I16" s="5"/>
      <c r="J16" s="5"/>
    </row>
    <row r="17" spans="1:10" x14ac:dyDescent="0.3">
      <c r="A17" s="5"/>
      <c r="B17" s="5"/>
      <c r="C17" s="5"/>
      <c r="D17" s="5"/>
      <c r="E17" s="5"/>
      <c r="F17" s="5"/>
      <c r="G17" s="5"/>
      <c r="H17" s="5"/>
      <c r="I17" s="5"/>
      <c r="J17" s="5"/>
    </row>
    <row r="18" spans="1:10" x14ac:dyDescent="0.3">
      <c r="A18" s="5"/>
      <c r="B18" s="5"/>
      <c r="C18" s="5"/>
      <c r="D18" s="5"/>
      <c r="E18" s="5"/>
      <c r="F18" s="5"/>
      <c r="G18" s="5"/>
      <c r="H18" s="5"/>
      <c r="I18" s="5"/>
      <c r="J18" s="5"/>
    </row>
    <row r="19" spans="1:10" x14ac:dyDescent="0.3">
      <c r="A19" s="5"/>
      <c r="B19" s="5"/>
      <c r="C19" s="5"/>
      <c r="D19" s="5"/>
      <c r="E19" s="5"/>
      <c r="F19" s="5"/>
      <c r="G19" s="5"/>
      <c r="H19" s="5"/>
      <c r="I19" s="5"/>
      <c r="J19" s="5"/>
    </row>
    <row r="20" spans="1:10" x14ac:dyDescent="0.3">
      <c r="A20" s="5"/>
      <c r="B20" s="5"/>
      <c r="C20" s="5"/>
      <c r="D20" s="5"/>
      <c r="E20" s="5"/>
      <c r="F20" s="5"/>
      <c r="G20" s="5"/>
      <c r="H20" s="5"/>
      <c r="I20" s="5"/>
      <c r="J20" s="5"/>
    </row>
    <row r="21" spans="1:10" x14ac:dyDescent="0.3">
      <c r="A21" s="5"/>
      <c r="B21" s="5"/>
      <c r="C21" s="5"/>
      <c r="D21" s="5"/>
      <c r="E21" s="5"/>
      <c r="F21" s="5"/>
      <c r="G21" s="5"/>
      <c r="H21" s="5"/>
      <c r="I21" s="5"/>
      <c r="J21"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4130FE6-148F-4D80-88B2-43A289E8ABDB}">
  <ds:schemaRefs>
    <ds:schemaRef ds:uri="http://schemas.microsoft.com/DataMashup"/>
  </ds:schemaRefs>
</ds:datastoreItem>
</file>

<file path=customXml/itemProps2.xml><?xml version="1.0" encoding="utf-8"?>
<ds:datastoreItem xmlns:ds="http://schemas.openxmlformats.org/officeDocument/2006/customXml" ds:itemID="{87B7F15F-07F6-4605-928B-04EDE1A4A3B4}">
  <ds:schemaRefs/>
</ds:datastoreItem>
</file>

<file path=customXml/itemProps3.xml><?xml version="1.0" encoding="utf-8"?>
<ds:datastoreItem xmlns:ds="http://schemas.openxmlformats.org/officeDocument/2006/customXml" ds:itemID="{3C94D59C-F99A-4882-B08E-549A2BDA5FAF}">
  <ds:schemaRefs/>
</ds:datastoreItem>
</file>

<file path=customXml/itemProps4.xml><?xml version="1.0" encoding="utf-8"?>
<ds:datastoreItem xmlns:ds="http://schemas.openxmlformats.org/officeDocument/2006/customXml" ds:itemID="{00783769-480F-485B-9432-8A20F6DCFDA2}">
  <ds:schemaRefs/>
</ds:datastoreItem>
</file>

<file path=customXml/itemProps5.xml><?xml version="1.0" encoding="utf-8"?>
<ds:datastoreItem xmlns:ds="http://schemas.openxmlformats.org/officeDocument/2006/customXml" ds:itemID="{14293772-B780-42F0-8EC9-F84ADF7CFA2E}">
  <ds:schemaRefs/>
</ds:datastoreItem>
</file>

<file path=customXml/itemProps6.xml><?xml version="1.0" encoding="utf-8"?>
<ds:datastoreItem xmlns:ds="http://schemas.openxmlformats.org/officeDocument/2006/customXml" ds:itemID="{CC71642C-279B-4260-A356-50BBAF60BFE2}">
  <ds:schemaRefs/>
</ds:datastoreItem>
</file>

<file path=customXml/itemProps7.xml><?xml version="1.0" encoding="utf-8"?>
<ds:datastoreItem xmlns:ds="http://schemas.openxmlformats.org/officeDocument/2006/customXml" ds:itemID="{6603AC3D-75C3-435A-B825-701C521D9BA1}">
  <ds:schemaRefs/>
</ds:datastoreItem>
</file>

<file path=customXml/itemProps8.xml><?xml version="1.0" encoding="utf-8"?>
<ds:datastoreItem xmlns:ds="http://schemas.openxmlformats.org/officeDocument/2006/customXml" ds:itemID="{3434836F-A72D-4B5E-BE06-F7F494FA785D}">
  <ds:schemaRefs/>
</ds:datastoreItem>
</file>

<file path=customXml/itemProps9.xml><?xml version="1.0" encoding="utf-8"?>
<ds:datastoreItem xmlns:ds="http://schemas.openxmlformats.org/officeDocument/2006/customXml" ds:itemID="{BC3C53BD-E76F-4CAE-93AA-CBD991CBFA61}">
  <ds:schemaRefs/>
</ds:datastoreItem>
</file>

<file path=customXml/itemProps10.xml><?xml version="1.0" encoding="utf-8"?>
<ds:datastoreItem xmlns:ds="http://schemas.openxmlformats.org/officeDocument/2006/customXml" ds:itemID="{85D6120B-286C-43D0-86E3-A6D85F818D13}">
  <ds:schemaRefs/>
</ds:datastoreItem>
</file>

<file path=customXml/itemProps11.xml><?xml version="1.0" encoding="utf-8"?>
<ds:datastoreItem xmlns:ds="http://schemas.openxmlformats.org/officeDocument/2006/customXml" ds:itemID="{7F0F9982-00AB-4711-A430-5530D1EBF868}">
  <ds:schemaRefs/>
</ds:datastoreItem>
</file>

<file path=customXml/itemProps12.xml><?xml version="1.0" encoding="utf-8"?>
<ds:datastoreItem xmlns:ds="http://schemas.openxmlformats.org/officeDocument/2006/customXml" ds:itemID="{03E6D1B9-48B1-4D10-A9CE-FD1EB7BE3F1F}">
  <ds:schemaRefs/>
</ds:datastoreItem>
</file>

<file path=customXml/itemProps13.xml><?xml version="1.0" encoding="utf-8"?>
<ds:datastoreItem xmlns:ds="http://schemas.openxmlformats.org/officeDocument/2006/customXml" ds:itemID="{7C7698FD-11BE-4359-BD3C-63F4212B2F73}">
  <ds:schemaRefs/>
</ds:datastoreItem>
</file>

<file path=customXml/itemProps14.xml><?xml version="1.0" encoding="utf-8"?>
<ds:datastoreItem xmlns:ds="http://schemas.openxmlformats.org/officeDocument/2006/customXml" ds:itemID="{9D57D14E-B440-49A3-82E0-66DFE97CE84A}">
  <ds:schemaRefs/>
</ds:datastoreItem>
</file>

<file path=customXml/itemProps15.xml><?xml version="1.0" encoding="utf-8"?>
<ds:datastoreItem xmlns:ds="http://schemas.openxmlformats.org/officeDocument/2006/customXml" ds:itemID="{46B8F7BC-3DFE-4EE3-8DD9-32B79D7767B9}">
  <ds:schemaRefs/>
</ds:datastoreItem>
</file>

<file path=customXml/itemProps16.xml><?xml version="1.0" encoding="utf-8"?>
<ds:datastoreItem xmlns:ds="http://schemas.openxmlformats.org/officeDocument/2006/customXml" ds:itemID="{C5120E9E-9894-49C2-8348-E5BA72673DFC}">
  <ds:schemaRefs/>
</ds:datastoreItem>
</file>

<file path=customXml/itemProps17.xml><?xml version="1.0" encoding="utf-8"?>
<ds:datastoreItem xmlns:ds="http://schemas.openxmlformats.org/officeDocument/2006/customXml" ds:itemID="{7F63E540-C5CA-4759-8D38-858BC9E37CA3}">
  <ds:schemaRefs/>
</ds:datastoreItem>
</file>

<file path=customXml/itemProps18.xml><?xml version="1.0" encoding="utf-8"?>
<ds:datastoreItem xmlns:ds="http://schemas.openxmlformats.org/officeDocument/2006/customXml" ds:itemID="{F2943248-5627-4C37-B4B8-F49EAB7C9E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AVERAGEWAIT</vt:lpstr>
      <vt:lpstr>DailyEr visits</vt:lpstr>
      <vt:lpstr>Satisfactio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afrina sodhi</dc:creator>
  <cp:lastModifiedBy>afrina sodhi</cp:lastModifiedBy>
  <dcterms:created xsi:type="dcterms:W3CDTF">2026-06-23T17:29:12Z</dcterms:created>
  <dcterms:modified xsi:type="dcterms:W3CDTF">2026-06-28T10:43:29Z</dcterms:modified>
</cp:coreProperties>
</file>